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R\R-4.4.1\Cerema\PreC2D\"/>
    </mc:Choice>
  </mc:AlternateContent>
  <xr:revisionPtr revIDLastSave="0" documentId="13_ncr:1_{C3C20D79-0559-4788-8E67-CC963AC2D1E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euil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15" i="1" l="1"/>
  <c r="G16" i="1"/>
  <c r="G17" i="1"/>
  <c r="G18" i="1"/>
  <c r="G19" i="1"/>
  <c r="G20" i="1"/>
  <c r="G14" i="1"/>
  <c r="F37" i="1"/>
  <c r="F36" i="1"/>
  <c r="F35" i="1"/>
  <c r="F34" i="1"/>
  <c r="F33" i="1"/>
  <c r="F32" i="1"/>
  <c r="F31" i="1"/>
  <c r="F30" i="1"/>
  <c r="F29" i="1"/>
  <c r="F28" i="1"/>
  <c r="G27" i="1"/>
  <c r="F27" i="1"/>
  <c r="G26" i="1"/>
  <c r="F26" i="1"/>
  <c r="G25" i="1"/>
  <c r="F25" i="1"/>
  <c r="G24" i="1"/>
  <c r="F24" i="1"/>
  <c r="G23" i="1"/>
  <c r="G22" i="1"/>
  <c r="F22" i="1"/>
  <c r="G21" i="1"/>
  <c r="F21" i="1"/>
  <c r="F20" i="1"/>
  <c r="F19" i="1"/>
  <c r="F18" i="1"/>
  <c r="F17" i="1"/>
  <c r="F16" i="1"/>
  <c r="F15" i="1"/>
  <c r="F14" i="1"/>
  <c r="G13" i="1"/>
  <c r="F13" i="1"/>
  <c r="G12" i="1"/>
  <c r="F12" i="1"/>
  <c r="G11" i="1"/>
  <c r="F11" i="1"/>
  <c r="G10" i="1"/>
  <c r="F10" i="1"/>
  <c r="G9" i="1"/>
  <c r="F9" i="1"/>
  <c r="G8" i="1"/>
  <c r="F8" i="1"/>
  <c r="G7" i="1"/>
  <c r="F7" i="1"/>
  <c r="G6" i="1"/>
  <c r="F6" i="1"/>
  <c r="G5" i="1"/>
  <c r="F5" i="1"/>
  <c r="G4" i="1"/>
  <c r="F4" i="1"/>
  <c r="G3" i="1"/>
  <c r="F3" i="1"/>
  <c r="G2" i="1"/>
  <c r="F2" i="1"/>
</calcChain>
</file>

<file path=xl/sharedStrings.xml><?xml version="1.0" encoding="utf-8"?>
<sst xmlns="http://schemas.openxmlformats.org/spreadsheetml/2006/main" count="371" uniqueCount="135">
  <si>
    <t>Cas</t>
  </si>
  <si>
    <t>Localisation</t>
  </si>
  <si>
    <t>Annee</t>
  </si>
  <si>
    <t>Code</t>
  </si>
  <si>
    <t>Source</t>
  </si>
  <si>
    <t>NomCas</t>
  </si>
  <si>
    <t>Dossier_PluieRaster</t>
  </si>
  <si>
    <t>Extension</t>
  </si>
  <si>
    <t>Nomplus</t>
  </si>
  <si>
    <t>NomType</t>
  </si>
  <si>
    <t>Nbredate</t>
  </si>
  <si>
    <t>LgDate</t>
  </si>
  <si>
    <t>Umm</t>
  </si>
  <si>
    <t>dt</t>
  </si>
  <si>
    <t>UnitTemps</t>
  </si>
  <si>
    <t>UnitValue</t>
  </si>
  <si>
    <t>EPSG</t>
  </si>
  <si>
    <t>ResolutionNative</t>
  </si>
  <si>
    <t>Resolution</t>
  </si>
  <si>
    <t>TypPluie</t>
  </si>
  <si>
    <t>Formatdate</t>
  </si>
  <si>
    <t>Boris</t>
  </si>
  <si>
    <t>Fred</t>
  </si>
  <si>
    <t>Nabil</t>
  </si>
  <si>
    <t>Anti</t>
  </si>
  <si>
    <t>J0</t>
  </si>
  <si>
    <t>Schapi</t>
  </si>
  <si>
    <t>.tif</t>
  </si>
  <si>
    <t>antilope_temps-reel_000100_</t>
  </si>
  <si>
    <t>min</t>
  </si>
  <si>
    <t>mm</t>
  </si>
  <si>
    <t>Evt</t>
  </si>
  <si>
    <t>D:\jobfred\2_cas1_ANTILOPE_1h_Schapi</t>
  </si>
  <si>
    <t>J1</t>
  </si>
  <si>
    <t>antilope_j1_000100_</t>
  </si>
  <si>
    <t>D:\jobfred\2_cas2_ANTILOPE_J1_1h_Schapi</t>
  </si>
  <si>
    <t>J2</t>
  </si>
  <si>
    <t>PluginQgis</t>
  </si>
  <si>
    <t>.grd</t>
  </si>
  <si>
    <t>D:\jobfred\2_cas3_ANTJ1_MPL_pluginQgis</t>
  </si>
  <si>
    <t>J3</t>
  </si>
  <si>
    <t>MF</t>
  </si>
  <si>
    <t>_AntilopeJP1_1h</t>
  </si>
  <si>
    <t>D:\PICS\FTP\envoiMF09062021\05_Antilope_1h_J+1</t>
  </si>
  <si>
    <t>E:\Pluie\PICS\envoiMF09062021\05_Antilope_1h_J+1</t>
  </si>
  <si>
    <t>J4</t>
  </si>
  <si>
    <t>_AntilopeJP1_15mn</t>
  </si>
  <si>
    <t>D:\PICS\FTP\envoiMF09062021\03_Antilope_15min_Tdiff</t>
  </si>
  <si>
    <t>E:\Pluie\PICS\envoiMF09062021\03_Antilope_15min_Tdiff</t>
  </si>
  <si>
    <t>J5</t>
  </si>
  <si>
    <t>.gtif</t>
  </si>
  <si>
    <t>ANTILOPE_TD_</t>
  </si>
  <si>
    <t>ProjMF</t>
  </si>
  <si>
    <t>D:\PICS\FTP\envoiMF09062021\08_Antilope_15min_Tdiff_inter</t>
  </si>
  <si>
    <t>E:\Pluie\PICS\envoiMF09062021\08_Antilope_15min_Tdiff_inter</t>
  </si>
  <si>
    <t>Pant</t>
  </si>
  <si>
    <t>panthere_france_000005_</t>
  </si>
  <si>
    <t>D:\jobfred\1_PANTHERE_5min</t>
  </si>
  <si>
    <t>JALEX</t>
  </si>
  <si>
    <t>ANTILOPE_</t>
  </si>
  <si>
    <t>D:\PICS\FTP\ALEX</t>
  </si>
  <si>
    <t>E:\Pluie\PICS\ALEX</t>
  </si>
  <si>
    <t>MFINRAE</t>
  </si>
  <si>
    <t>antilope_j1_000015_</t>
  </si>
  <si>
    <t>D:\PICS\FTP\11_Antilope_1h_J+1_desag15min_avec_panthere</t>
  </si>
  <si>
    <t>E:\Pluie\PICS\11_Antilope_1h_J+1_desag15min_avec_panthere</t>
  </si>
  <si>
    <t>MF_Cerema</t>
  </si>
  <si>
    <t>ANTILOPE_Cerema_TD_</t>
  </si>
  <si>
    <t>D:\PICS\FTP\12_Antilope_MFCerema_15min_Tdiff_ProjMF</t>
  </si>
  <si>
    <t>E:\Pluie\PICS\12_Antilope_MFCerema_15min_Tdiff_ProjMF</t>
  </si>
  <si>
    <t>D:\PICS\FTP\12_Antilope_MFCerema_15min_Tdiff_ProjMF_201410</t>
  </si>
  <si>
    <t>E:\Pluie\PICS\12_Antilope_MFCerema_15min_Tdiff_ProjMF_201410</t>
  </si>
  <si>
    <t>D:\PICS\FTP\LABATUT LAURENT\20140928_20140930</t>
  </si>
  <si>
    <t>E:\Pluie\PICS\LABATUT LAURENT\20140928_20140930</t>
  </si>
  <si>
    <t>Nimes</t>
  </si>
  <si>
    <t>Z2</t>
  </si>
  <si>
    <t>NIMES</t>
  </si>
  <si>
    <t>GR_Z2_</t>
  </si>
  <si>
    <t>mm/h</t>
  </si>
  <si>
    <t>C:\Cartino2D\_Pluie\lames_eau_Vistre_Aval\2002</t>
  </si>
  <si>
    <t>D:\jobfred\lames_eau_Vistre_Aval\2002</t>
  </si>
  <si>
    <t>D:\Nabil\Pluie_nimes\_Cerema_Pluie\Data\lames_eau_Vistre_Aval\2002</t>
  </si>
  <si>
    <t>Z1</t>
  </si>
  <si>
    <t>GR_Z1_</t>
  </si>
  <si>
    <t>C:\Cartino2D\_Pluie\lames_eau_Vistre_Aval\2005</t>
  </si>
  <si>
    <t>D:\jobfred\lames_eau_Vistre_Aval\2005</t>
  </si>
  <si>
    <t>D:\Nabil\Nimes\lames_eau_Vistre_Aval\2005</t>
  </si>
  <si>
    <t>D:\Nabil\Nimes\lames_eau_Vistre_Aval\200509</t>
  </si>
  <si>
    <t>C:\Cartino2D\_Pluie\lames_eau_Vistre_Aval\2014</t>
  </si>
  <si>
    <t>D:\jobfred\lames_eau_Vistre_Aval\2014</t>
  </si>
  <si>
    <t>C:\Cartino2D\_Pluie\lames_eau_Vistre_Aval\2015</t>
  </si>
  <si>
    <t>D:\jobfred\lames_eau_Vistre_Aval\2015</t>
  </si>
  <si>
    <t>D:\Nabil\Nimes\lames_eau_Vistre_Aval\2015</t>
  </si>
  <si>
    <t>D:\Nabil\Nimes\lames_eau_Vistre_Aval\2016</t>
  </si>
  <si>
    <t>C:\Cartino2D\_Pluie\lames_eau_Vistre_Aval\2021</t>
  </si>
  <si>
    <t>D:\jobfred\lames_eau_Vistre_Aval\2021</t>
  </si>
  <si>
    <t>D:\Nabil\Nimes\lames_eau_Vistre_Aval\2021</t>
  </si>
  <si>
    <t>PANTHERE_</t>
  </si>
  <si>
    <t>%d_%m_%Y %H_%M</t>
  </si>
  <si>
    <t>D:\Nabil\Nimes\lames_eau_Vistre_Aval\Panthere_grille_asc_2016</t>
  </si>
  <si>
    <t>Z3</t>
  </si>
  <si>
    <t>GR_Z3_</t>
  </si>
  <si>
    <t>D:\Nabil\Nimes\lames_eau_Vistre_Aval\102021</t>
  </si>
  <si>
    <t>Guadeloupe</t>
  </si>
  <si>
    <t>ProjMF_Evt_Fiona_15min_CEREMA</t>
  </si>
  <si>
    <t>_15min_cerema</t>
  </si>
  <si>
    <t>ANTILOPE_PRECIP_</t>
  </si>
  <si>
    <t>D:\Nabil\FIONA\Cerema20230616</t>
  </si>
  <si>
    <t>SHYREG</t>
  </si>
  <si>
    <t>RR</t>
  </si>
  <si>
    <t>INRAE</t>
  </si>
  <si>
    <t>PM</t>
  </si>
  <si>
    <t>Stat</t>
  </si>
  <si>
    <t>C:\Cartino2D\_Pluie\SHYREG_2018_2154</t>
  </si>
  <si>
    <t>D:\jobfred\SHYREG_2018_2154</t>
  </si>
  <si>
    <t>.asc</t>
  </si>
  <si>
    <t>C:\Cartino2D\_Pluie\SHYREG_2018_27583</t>
  </si>
  <si>
    <t>D:\jobfred\SHYREG_2018_27583</t>
  </si>
  <si>
    <t>D:\Nabil\Pluie_nimes\_Cerema_Pluie\Data\SHYREG_2018_27583</t>
  </si>
  <si>
    <t>D:\jobfred\SHYREG_2018_ProjMF</t>
  </si>
  <si>
    <t>GERS</t>
  </si>
  <si>
    <t>C:\PROJET\2024_GERS\LAMEDO\ANTILOPEJ1</t>
  </si>
  <si>
    <t>C:\Cartino2D\France\_Pluie\INRAE\2014</t>
  </si>
  <si>
    <t>RESTONICA</t>
  </si>
  <si>
    <t>C:\Cartino2D\France\_Pluie\Data\AntilopeJ1_restonica_nov_2023</t>
  </si>
  <si>
    <t>C:\Cartino2D\France\_Pluie\Data\Antilope15_restonica_nov_2023</t>
  </si>
  <si>
    <t>Garance</t>
  </si>
  <si>
    <t>C:\Cartino2D\France\_Pluie\Data\ANTILOPE_PP_GARANCE_20250228</t>
  </si>
  <si>
    <t>RancureAsse</t>
  </si>
  <si>
    <t>C:\Pluie_Asse\16_12_2019_panthere_corrige</t>
  </si>
  <si>
    <t>C:\Pluie_Asse\19_11_2019_panthere_corrige</t>
  </si>
  <si>
    <t>C:\Pluie_Asse\20_10_2019_panthere_corrige</t>
  </si>
  <si>
    <t>C:\Pluie_Asse\25_10_2018_panthere_corrige</t>
  </si>
  <si>
    <t>C:\Cartino2D\07_03_2018_panthere_corrige</t>
  </si>
  <si>
    <t>F:\Cartino2D\France\_Pluie\2014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</si>
</sst>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000"/>
    <numFmt numFmtId="165" formatCode="0.0000000000"/>
  </numFmts>
  <fonts count="2" x14ac:knownFonts="1">
    <font>
      <sz val="11"/>
      <color theme="1"/>
      <name val="Calibri"/>
    </font>
    <font>
      <b/>
      <sz val="11"/>
      <color rgb="FF4472C4"/>
      <name val="Calibri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22"/>
      </patternFill>
    </fill>
    <fill>
      <patternFill patternType="solid">
        <fgColor rgb="FFFFC000"/>
        <bgColor indexed="5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37"/>
  <sheetViews>
    <sheetView tabSelected="1" zoomScale="145" workbookViewId="0">
      <selection activeCell="X18" sqref="X18"/>
    </sheetView>
  </sheetViews>
  <sheetFormatPr baseColWidth="10" defaultColWidth="9.109375" defaultRowHeight="14.4" x14ac:dyDescent="0.3"/>
  <cols>
    <col min="1" max="1" width="4" customWidth="1"/>
    <col min="2" max="2" width="11.44140625"/>
    <col min="3" max="3" width="6.88671875" customWidth="1"/>
    <col min="4" max="4" width="6" customWidth="1"/>
    <col min="5" max="5" width="11.5546875" customWidth="1"/>
    <col min="6" max="6" width="38.109375" customWidth="1"/>
    <col min="7" max="7" width="78.44140625" customWidth="1"/>
    <col min="8" max="8" width="9.6640625" customWidth="1"/>
    <col min="9" max="9" width="18.5546875" customWidth="1"/>
    <col min="10" max="10" width="27.6640625" customWidth="1"/>
    <col min="11" max="12" width="9.44140625" customWidth="1"/>
    <col min="13" max="13" width="5.88671875" customWidth="1"/>
    <col min="14" max="14" width="3.6640625" customWidth="1"/>
    <col min="15" max="15" width="10.6640625" customWidth="1"/>
    <col min="16" max="16" width="10" customWidth="1"/>
    <col min="17" max="17" width="7.33203125" customWidth="1"/>
    <col min="18" max="19" width="16.5546875" customWidth="1"/>
    <col min="20" max="20" width="8.6640625" customWidth="1"/>
    <col min="21" max="21" width="15.6640625" bestFit="1" customWidth="1"/>
    <col min="22" max="22" width="74.44140625" customWidth="1"/>
    <col min="23" max="23" width="78.44140625" bestFit="1" customWidth="1"/>
    <col min="24" max="24" width="56.5546875" bestFit="1" customWidth="1"/>
    <col min="25" max="1026" width="10.6640625" customWidth="1"/>
  </cols>
  <sheetData>
    <row r="1" spans="1:24" s="1" customFormat="1" x14ac:dyDescent="0.3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3" t="s">
        <v>11</v>
      </c>
      <c r="M1" s="2" t="s">
        <v>12</v>
      </c>
      <c r="N1" s="2" t="s">
        <v>13</v>
      </c>
      <c r="O1" s="1" t="s">
        <v>14</v>
      </c>
      <c r="P1" s="1" t="s">
        <v>15</v>
      </c>
      <c r="Q1" s="2" t="s">
        <v>16</v>
      </c>
      <c r="R1" s="1" t="s">
        <v>17</v>
      </c>
      <c r="S1" s="2" t="s">
        <v>18</v>
      </c>
      <c r="T1" s="2" t="s">
        <v>19</v>
      </c>
      <c r="U1" s="2" t="s">
        <v>20</v>
      </c>
      <c r="V1" s="1" t="s">
        <v>21</v>
      </c>
      <c r="W1" s="1" t="s">
        <v>22</v>
      </c>
      <c r="X1" s="1" t="s">
        <v>23</v>
      </c>
    </row>
    <row r="2" spans="1:24" x14ac:dyDescent="0.3">
      <c r="A2">
        <v>1</v>
      </c>
      <c r="B2" t="s">
        <v>24</v>
      </c>
      <c r="D2" t="s">
        <v>25</v>
      </c>
      <c r="E2" t="s">
        <v>26</v>
      </c>
      <c r="F2" t="str">
        <f t="shared" ref="F2:F27" si="0">_xlfn.CONCAT(Q2,"_",T2,"_",B2,"_",N2,O2,"_",D2,"_",E2,"_",C2)</f>
        <v>27572_Evt_Anti_60min_J0_Schapi_</v>
      </c>
      <c r="G2" t="str">
        <f t="shared" ref="G2:G9" si="1">W2</f>
        <v>D:\jobfred\2_cas1_ANTILOPE_1h_Schapi</v>
      </c>
      <c r="H2" t="s">
        <v>27</v>
      </c>
      <c r="J2" t="s">
        <v>28</v>
      </c>
      <c r="K2">
        <v>1</v>
      </c>
      <c r="L2">
        <v>12</v>
      </c>
      <c r="M2">
        <v>1</v>
      </c>
      <c r="N2">
        <v>60</v>
      </c>
      <c r="O2" t="s">
        <v>29</v>
      </c>
      <c r="P2" t="s">
        <v>30</v>
      </c>
      <c r="Q2">
        <v>27572</v>
      </c>
      <c r="R2">
        <v>1000</v>
      </c>
      <c r="S2">
        <v>100</v>
      </c>
      <c r="T2" t="s">
        <v>31</v>
      </c>
      <c r="V2" t="s">
        <v>32</v>
      </c>
      <c r="W2" t="s">
        <v>32</v>
      </c>
    </row>
    <row r="3" spans="1:24" x14ac:dyDescent="0.3">
      <c r="A3">
        <v>2</v>
      </c>
      <c r="B3" t="s">
        <v>24</v>
      </c>
      <c r="D3" t="s">
        <v>33</v>
      </c>
      <c r="E3" t="s">
        <v>26</v>
      </c>
      <c r="F3" t="str">
        <f t="shared" si="0"/>
        <v>2154_Evt_Anti_60min_J1_Schapi_</v>
      </c>
      <c r="G3" t="str">
        <f t="shared" si="1"/>
        <v>D:\jobfred\2_cas2_ANTILOPE_J1_1h_Schapi</v>
      </c>
      <c r="H3" t="s">
        <v>27</v>
      </c>
      <c r="J3" t="s">
        <v>34</v>
      </c>
      <c r="K3">
        <v>2</v>
      </c>
      <c r="L3">
        <v>12</v>
      </c>
      <c r="M3">
        <v>10</v>
      </c>
      <c r="N3">
        <v>60</v>
      </c>
      <c r="O3" t="s">
        <v>29</v>
      </c>
      <c r="P3" t="s">
        <v>30</v>
      </c>
      <c r="Q3">
        <v>2154</v>
      </c>
      <c r="R3">
        <v>1000</v>
      </c>
      <c r="S3">
        <v>100</v>
      </c>
      <c r="T3" t="s">
        <v>31</v>
      </c>
      <c r="V3" t="s">
        <v>35</v>
      </c>
      <c r="W3" t="s">
        <v>35</v>
      </c>
    </row>
    <row r="4" spans="1:24" x14ac:dyDescent="0.3">
      <c r="A4">
        <v>3</v>
      </c>
      <c r="B4" t="s">
        <v>24</v>
      </c>
      <c r="D4" t="s">
        <v>36</v>
      </c>
      <c r="E4" t="s">
        <v>37</v>
      </c>
      <c r="F4" t="str">
        <f t="shared" si="0"/>
        <v>2154_Evt_Anti_60min_J2_PluginQgis_</v>
      </c>
      <c r="G4" t="str">
        <f t="shared" si="1"/>
        <v>D:\jobfred\2_cas3_ANTJ1_MPL_pluginQgis</v>
      </c>
      <c r="H4" t="s">
        <v>38</v>
      </c>
      <c r="K4">
        <v>1</v>
      </c>
      <c r="L4">
        <v>12</v>
      </c>
      <c r="M4">
        <v>1</v>
      </c>
      <c r="N4">
        <v>60</v>
      </c>
      <c r="O4" t="s">
        <v>29</v>
      </c>
      <c r="P4" t="s">
        <v>30</v>
      </c>
      <c r="Q4">
        <v>2154</v>
      </c>
      <c r="R4">
        <v>1000</v>
      </c>
      <c r="S4">
        <v>100</v>
      </c>
      <c r="T4" t="s">
        <v>31</v>
      </c>
      <c r="V4" t="s">
        <v>39</v>
      </c>
      <c r="W4" t="s">
        <v>39</v>
      </c>
    </row>
    <row r="5" spans="1:24" x14ac:dyDescent="0.3">
      <c r="A5">
        <v>4</v>
      </c>
      <c r="B5" t="s">
        <v>24</v>
      </c>
      <c r="D5" t="s">
        <v>40</v>
      </c>
      <c r="E5" t="s">
        <v>41</v>
      </c>
      <c r="F5" t="str">
        <f t="shared" si="0"/>
        <v>4326_Evt_Anti_60min_J3_MF_</v>
      </c>
      <c r="G5" t="str">
        <f t="shared" si="1"/>
        <v>E:\Pluie\PICS\envoiMF09062021\05_Antilope_1h_J+1</v>
      </c>
      <c r="H5" t="s">
        <v>38</v>
      </c>
      <c r="I5" t="s">
        <v>42</v>
      </c>
      <c r="K5">
        <v>1</v>
      </c>
      <c r="L5">
        <v>12</v>
      </c>
      <c r="M5">
        <v>1</v>
      </c>
      <c r="N5">
        <v>60</v>
      </c>
      <c r="O5" t="s">
        <v>29</v>
      </c>
      <c r="P5" t="s">
        <v>30</v>
      </c>
      <c r="Q5">
        <v>4326</v>
      </c>
      <c r="S5">
        <v>1E-3</v>
      </c>
      <c r="T5" t="s">
        <v>31</v>
      </c>
      <c r="V5" t="s">
        <v>43</v>
      </c>
      <c r="W5" t="s">
        <v>44</v>
      </c>
    </row>
    <row r="6" spans="1:24" x14ac:dyDescent="0.3">
      <c r="A6">
        <v>5</v>
      </c>
      <c r="B6" t="s">
        <v>24</v>
      </c>
      <c r="D6" t="s">
        <v>45</v>
      </c>
      <c r="E6" t="s">
        <v>41</v>
      </c>
      <c r="F6" t="str">
        <f t="shared" si="0"/>
        <v>4326_Evt_Anti_15min_J4_MF_</v>
      </c>
      <c r="G6" t="str">
        <f t="shared" si="1"/>
        <v>E:\Pluie\PICS\envoiMF09062021\03_Antilope_15min_Tdiff</v>
      </c>
      <c r="H6" t="s">
        <v>38</v>
      </c>
      <c r="I6" t="s">
        <v>46</v>
      </c>
      <c r="K6">
        <v>1</v>
      </c>
      <c r="L6">
        <v>12</v>
      </c>
      <c r="M6">
        <v>1</v>
      </c>
      <c r="N6">
        <v>15</v>
      </c>
      <c r="O6" t="s">
        <v>29</v>
      </c>
      <c r="P6" t="s">
        <v>30</v>
      </c>
      <c r="Q6">
        <v>4326</v>
      </c>
      <c r="S6">
        <v>1E-3</v>
      </c>
      <c r="T6" t="s">
        <v>31</v>
      </c>
      <c r="V6" t="s">
        <v>47</v>
      </c>
      <c r="W6" t="s">
        <v>48</v>
      </c>
    </row>
    <row r="7" spans="1:24" x14ac:dyDescent="0.3">
      <c r="A7">
        <v>6</v>
      </c>
      <c r="B7" t="s">
        <v>24</v>
      </c>
      <c r="D7" t="s">
        <v>49</v>
      </c>
      <c r="E7" t="s">
        <v>41</v>
      </c>
      <c r="F7" t="str">
        <f t="shared" si="0"/>
        <v>ProjMF_Evt_Anti_15min_J5_MF_</v>
      </c>
      <c r="G7" t="str">
        <f t="shared" si="1"/>
        <v>E:\Pluie\PICS\envoiMF09062021\08_Antilope_15min_Tdiff_inter</v>
      </c>
      <c r="H7" t="s">
        <v>50</v>
      </c>
      <c r="J7" t="s">
        <v>51</v>
      </c>
      <c r="K7">
        <v>1</v>
      </c>
      <c r="L7">
        <v>12</v>
      </c>
      <c r="M7">
        <v>10</v>
      </c>
      <c r="N7">
        <v>15</v>
      </c>
      <c r="O7" t="s">
        <v>29</v>
      </c>
      <c r="P7" t="s">
        <v>30</v>
      </c>
      <c r="Q7" t="s">
        <v>52</v>
      </c>
      <c r="R7" s="4">
        <v>1092.843190094</v>
      </c>
      <c r="S7" s="5">
        <v>109.28431900939999</v>
      </c>
      <c r="T7" t="s">
        <v>31</v>
      </c>
      <c r="V7" t="s">
        <v>53</v>
      </c>
      <c r="W7" t="s">
        <v>54</v>
      </c>
    </row>
    <row r="8" spans="1:24" x14ac:dyDescent="0.3">
      <c r="A8">
        <v>8</v>
      </c>
      <c r="B8" t="s">
        <v>55</v>
      </c>
      <c r="D8" t="s">
        <v>25</v>
      </c>
      <c r="E8" t="s">
        <v>26</v>
      </c>
      <c r="F8" t="str">
        <f t="shared" si="0"/>
        <v>2154_Evt_Pant_5min_J0_Schapi_</v>
      </c>
      <c r="G8" t="str">
        <f t="shared" si="1"/>
        <v>D:\jobfred\1_PANTHERE_5min</v>
      </c>
      <c r="H8" t="s">
        <v>27</v>
      </c>
      <c r="J8" t="s">
        <v>56</v>
      </c>
      <c r="K8">
        <v>2</v>
      </c>
      <c r="L8">
        <v>12</v>
      </c>
      <c r="M8">
        <v>100</v>
      </c>
      <c r="N8">
        <v>5</v>
      </c>
      <c r="O8" t="s">
        <v>29</v>
      </c>
      <c r="P8" t="s">
        <v>30</v>
      </c>
      <c r="Q8">
        <v>2154</v>
      </c>
      <c r="R8">
        <v>1000</v>
      </c>
      <c r="S8">
        <v>100</v>
      </c>
      <c r="T8" t="s">
        <v>31</v>
      </c>
      <c r="V8" t="s">
        <v>57</v>
      </c>
      <c r="W8" t="s">
        <v>57</v>
      </c>
    </row>
    <row r="9" spans="1:24" x14ac:dyDescent="0.3">
      <c r="A9">
        <v>9</v>
      </c>
      <c r="B9" t="s">
        <v>24</v>
      </c>
      <c r="D9" t="s">
        <v>58</v>
      </c>
      <c r="E9" t="s">
        <v>41</v>
      </c>
      <c r="F9" t="str">
        <f t="shared" si="0"/>
        <v>ProjMF_Evt_Anti_60min_JALEX_MF_</v>
      </c>
      <c r="G9" t="str">
        <f t="shared" si="1"/>
        <v>E:\Pluie\PICS\ALEX</v>
      </c>
      <c r="H9" t="s">
        <v>50</v>
      </c>
      <c r="J9" t="s">
        <v>59</v>
      </c>
      <c r="K9">
        <v>1</v>
      </c>
      <c r="L9">
        <v>12</v>
      </c>
      <c r="M9">
        <v>10</v>
      </c>
      <c r="N9">
        <v>60</v>
      </c>
      <c r="O9" t="s">
        <v>29</v>
      </c>
      <c r="P9" t="s">
        <v>30</v>
      </c>
      <c r="Q9" t="s">
        <v>52</v>
      </c>
      <c r="R9" s="4">
        <v>1092.843190094</v>
      </c>
      <c r="S9" s="5">
        <v>109.28431900939999</v>
      </c>
      <c r="T9" t="s">
        <v>31</v>
      </c>
      <c r="V9" t="s">
        <v>60</v>
      </c>
      <c r="W9" t="s">
        <v>61</v>
      </c>
    </row>
    <row r="10" spans="1:24" x14ac:dyDescent="0.3">
      <c r="A10">
        <v>10</v>
      </c>
      <c r="B10" t="s">
        <v>24</v>
      </c>
      <c r="D10" t="s">
        <v>33</v>
      </c>
      <c r="E10" t="s">
        <v>62</v>
      </c>
      <c r="F10" t="str">
        <f t="shared" si="0"/>
        <v>2154_Evt_Anti_15min_J1_MFINRAE_</v>
      </c>
      <c r="G10" t="str">
        <f t="shared" ref="G10:G13" si="2">W10</f>
        <v>E:\Pluie\PICS\11_Antilope_1h_J+1_desag15min_avec_panthere</v>
      </c>
      <c r="H10" t="s">
        <v>27</v>
      </c>
      <c r="J10" t="s">
        <v>63</v>
      </c>
      <c r="K10">
        <v>2</v>
      </c>
      <c r="L10">
        <v>12</v>
      </c>
      <c r="M10">
        <v>1000</v>
      </c>
      <c r="N10">
        <v>15</v>
      </c>
      <c r="O10" t="s">
        <v>29</v>
      </c>
      <c r="P10" t="s">
        <v>30</v>
      </c>
      <c r="Q10">
        <v>2154</v>
      </c>
      <c r="R10">
        <v>1000</v>
      </c>
      <c r="S10">
        <v>100</v>
      </c>
      <c r="T10" t="s">
        <v>31</v>
      </c>
      <c r="V10" t="s">
        <v>64</v>
      </c>
      <c r="W10" t="s">
        <v>65</v>
      </c>
    </row>
    <row r="11" spans="1:24" x14ac:dyDescent="0.3">
      <c r="A11">
        <v>11</v>
      </c>
      <c r="B11" t="s">
        <v>24</v>
      </c>
      <c r="D11" t="s">
        <v>33</v>
      </c>
      <c r="E11" t="s">
        <v>66</v>
      </c>
      <c r="F11" t="str">
        <f t="shared" si="0"/>
        <v>ProjMF_Evt_Anti_15min_J1_MF_Cerema_</v>
      </c>
      <c r="G11" t="str">
        <f t="shared" si="2"/>
        <v>E:\Pluie\PICS\12_Antilope_MFCerema_15min_Tdiff_ProjMF</v>
      </c>
      <c r="H11" t="s">
        <v>27</v>
      </c>
      <c r="J11" t="s">
        <v>67</v>
      </c>
      <c r="K11">
        <v>1</v>
      </c>
      <c r="L11">
        <v>12</v>
      </c>
      <c r="M11">
        <v>1</v>
      </c>
      <c r="N11">
        <v>15</v>
      </c>
      <c r="O11" t="s">
        <v>29</v>
      </c>
      <c r="P11" t="s">
        <v>30</v>
      </c>
      <c r="Q11" t="s">
        <v>52</v>
      </c>
      <c r="R11" s="4">
        <v>1092.843190094</v>
      </c>
      <c r="S11" s="5">
        <v>109.28431900939999</v>
      </c>
      <c r="T11" t="s">
        <v>31</v>
      </c>
      <c r="V11" t="s">
        <v>68</v>
      </c>
      <c r="W11" t="s">
        <v>69</v>
      </c>
    </row>
    <row r="12" spans="1:24" x14ac:dyDescent="0.3">
      <c r="A12">
        <v>11</v>
      </c>
      <c r="B12" t="s">
        <v>24</v>
      </c>
      <c r="C12">
        <v>2014</v>
      </c>
      <c r="D12" t="s">
        <v>33</v>
      </c>
      <c r="E12" t="s">
        <v>66</v>
      </c>
      <c r="F12" t="str">
        <f>_xlfn.CONCAT(Q12,"_",T12,"_",B12,"_",N12,O12,"_",D12,"_",E12,"_",C12)</f>
        <v>ProjMF_Evt_Anti_15min_J1_MF_Cerema_2014</v>
      </c>
      <c r="G12" t="str">
        <f t="shared" si="2"/>
        <v>E:\Pluie\PICS\12_Antilope_MFCerema_15min_Tdiff_ProjMF_201410</v>
      </c>
      <c r="H12" t="s">
        <v>27</v>
      </c>
      <c r="J12" t="s">
        <v>67</v>
      </c>
      <c r="K12">
        <v>1</v>
      </c>
      <c r="L12">
        <v>12</v>
      </c>
      <c r="M12">
        <v>1</v>
      </c>
      <c r="N12">
        <v>15</v>
      </c>
      <c r="O12" t="s">
        <v>29</v>
      </c>
      <c r="P12" t="s">
        <v>30</v>
      </c>
      <c r="Q12" t="s">
        <v>52</v>
      </c>
      <c r="R12" s="4">
        <v>1092.843190094</v>
      </c>
      <c r="S12" s="5">
        <v>109.28431900939999</v>
      </c>
      <c r="T12" t="s">
        <v>31</v>
      </c>
      <c r="V12" t="s">
        <v>70</v>
      </c>
      <c r="W12" t="s">
        <v>71</v>
      </c>
    </row>
    <row r="13" spans="1:24" x14ac:dyDescent="0.3">
      <c r="A13">
        <v>12</v>
      </c>
      <c r="B13" t="s">
        <v>24</v>
      </c>
      <c r="D13" t="s">
        <v>33</v>
      </c>
      <c r="E13" t="s">
        <v>41</v>
      </c>
      <c r="F13" t="str">
        <f t="shared" si="0"/>
        <v>ProjMF_Evt_Anti_60min_J1_MF_</v>
      </c>
      <c r="G13" t="str">
        <f t="shared" si="2"/>
        <v>E:\Pluie\PICS\LABATUT LAURENT\20140928_20140930</v>
      </c>
      <c r="H13" t="s">
        <v>50</v>
      </c>
      <c r="J13" t="s">
        <v>51</v>
      </c>
      <c r="K13">
        <v>1</v>
      </c>
      <c r="L13">
        <v>10</v>
      </c>
      <c r="M13">
        <v>10</v>
      </c>
      <c r="N13">
        <v>60</v>
      </c>
      <c r="O13" t="s">
        <v>29</v>
      </c>
      <c r="P13" t="s">
        <v>30</v>
      </c>
      <c r="Q13" t="s">
        <v>52</v>
      </c>
      <c r="R13" s="4">
        <v>1092.843190094</v>
      </c>
      <c r="S13" s="5">
        <v>109.28431900939999</v>
      </c>
      <c r="T13" t="s">
        <v>31</v>
      </c>
      <c r="V13" t="s">
        <v>72</v>
      </c>
      <c r="W13" t="s">
        <v>73</v>
      </c>
    </row>
    <row r="14" spans="1:24" x14ac:dyDescent="0.3">
      <c r="A14">
        <v>13</v>
      </c>
      <c r="B14" t="s">
        <v>74</v>
      </c>
      <c r="C14">
        <v>2002</v>
      </c>
      <c r="D14" t="s">
        <v>75</v>
      </c>
      <c r="E14" t="s">
        <v>76</v>
      </c>
      <c r="F14" t="str">
        <f t="shared" si="0"/>
        <v>27583_Evt_Nimes_5min_Z2_NIMES_2002</v>
      </c>
      <c r="G14" t="str">
        <f>X14</f>
        <v>D:\Nabil\Pluie_nimes\_Cerema_Pluie\Data\lames_eau_Vistre_Aval\2002</v>
      </c>
      <c r="H14" t="s">
        <v>38</v>
      </c>
      <c r="J14" t="s">
        <v>77</v>
      </c>
      <c r="K14">
        <v>1</v>
      </c>
      <c r="L14">
        <v>12</v>
      </c>
      <c r="M14">
        <v>120</v>
      </c>
      <c r="N14">
        <v>5</v>
      </c>
      <c r="O14" t="s">
        <v>29</v>
      </c>
      <c r="P14" t="s">
        <v>78</v>
      </c>
      <c r="Q14">
        <v>27583</v>
      </c>
      <c r="R14">
        <v>500</v>
      </c>
      <c r="S14" s="5">
        <v>50</v>
      </c>
      <c r="T14" t="s">
        <v>31</v>
      </c>
      <c r="V14" t="s">
        <v>79</v>
      </c>
      <c r="W14" t="s">
        <v>80</v>
      </c>
      <c r="X14" t="s">
        <v>81</v>
      </c>
    </row>
    <row r="15" spans="1:24" x14ac:dyDescent="0.3">
      <c r="A15">
        <v>14</v>
      </c>
      <c r="B15" t="s">
        <v>74</v>
      </c>
      <c r="C15">
        <v>2005</v>
      </c>
      <c r="D15" t="s">
        <v>82</v>
      </c>
      <c r="E15" t="s">
        <v>76</v>
      </c>
      <c r="F15" t="str">
        <f t="shared" si="0"/>
        <v>27583_Evt_Nimes_5min_Z1_NIMES_2005</v>
      </c>
      <c r="G15" t="str">
        <f t="shared" ref="G15:G20" si="3">X15</f>
        <v>D:\Nabil\Nimes\lames_eau_Vistre_Aval\2005</v>
      </c>
      <c r="H15" t="s">
        <v>38</v>
      </c>
      <c r="J15" t="s">
        <v>83</v>
      </c>
      <c r="K15">
        <v>1</v>
      </c>
      <c r="L15">
        <v>12</v>
      </c>
      <c r="M15">
        <v>120</v>
      </c>
      <c r="N15">
        <v>5</v>
      </c>
      <c r="O15" t="s">
        <v>29</v>
      </c>
      <c r="P15" t="s">
        <v>78</v>
      </c>
      <c r="Q15">
        <v>27583</v>
      </c>
      <c r="R15">
        <v>500</v>
      </c>
      <c r="S15" s="5">
        <v>50</v>
      </c>
      <c r="T15" t="s">
        <v>31</v>
      </c>
      <c r="V15" t="s">
        <v>84</v>
      </c>
      <c r="W15" t="s">
        <v>85</v>
      </c>
      <c r="X15" t="s">
        <v>86</v>
      </c>
    </row>
    <row r="16" spans="1:24" x14ac:dyDescent="0.3">
      <c r="A16">
        <v>14</v>
      </c>
      <c r="B16" t="s">
        <v>74</v>
      </c>
      <c r="C16">
        <v>2005</v>
      </c>
      <c r="D16" t="s">
        <v>75</v>
      </c>
      <c r="E16" t="s">
        <v>76</v>
      </c>
      <c r="F16" t="str">
        <f>_xlfn.CONCAT(Q16,"_",T16,"_",B16,"_",N16,O16,"_",D16,"_",E16,"_",C16)</f>
        <v>27583_Evt_Nimes_5min_Z2_NIMES_2005</v>
      </c>
      <c r="G16" t="str">
        <f t="shared" si="3"/>
        <v>D:\Nabil\Nimes\lames_eau_Vistre_Aval\200509</v>
      </c>
      <c r="H16" t="s">
        <v>38</v>
      </c>
      <c r="J16" t="s">
        <v>77</v>
      </c>
      <c r="K16">
        <v>1</v>
      </c>
      <c r="L16">
        <v>12</v>
      </c>
      <c r="M16">
        <v>120</v>
      </c>
      <c r="N16">
        <v>5</v>
      </c>
      <c r="O16" t="s">
        <v>29</v>
      </c>
      <c r="P16" t="s">
        <v>78</v>
      </c>
      <c r="Q16">
        <v>27583</v>
      </c>
      <c r="R16">
        <v>500</v>
      </c>
      <c r="S16" s="5">
        <v>50</v>
      </c>
      <c r="T16" t="s">
        <v>31</v>
      </c>
      <c r="V16" t="s">
        <v>84</v>
      </c>
      <c r="W16" t="s">
        <v>85</v>
      </c>
      <c r="X16" t="s">
        <v>87</v>
      </c>
    </row>
    <row r="17" spans="1:24" x14ac:dyDescent="0.3">
      <c r="A17">
        <v>15</v>
      </c>
      <c r="B17" t="s">
        <v>74</v>
      </c>
      <c r="C17">
        <v>2014</v>
      </c>
      <c r="D17" t="s">
        <v>75</v>
      </c>
      <c r="E17" t="s">
        <v>76</v>
      </c>
      <c r="F17" t="str">
        <f t="shared" si="0"/>
        <v>27583_Evt_Nimes_5min_Z2_NIMES_2014</v>
      </c>
      <c r="G17" t="str">
        <f t="shared" si="3"/>
        <v>F:\Cartino2D\France\_Pluie\2014</v>
      </c>
      <c r="H17" t="s">
        <v>38</v>
      </c>
      <c r="J17" t="s">
        <v>77</v>
      </c>
      <c r="K17">
        <v>1</v>
      </c>
      <c r="L17">
        <v>12</v>
      </c>
      <c r="M17">
        <v>120</v>
      </c>
      <c r="N17">
        <v>5</v>
      </c>
      <c r="O17" t="s">
        <v>29</v>
      </c>
      <c r="P17" t="s">
        <v>78</v>
      </c>
      <c r="Q17">
        <v>27583</v>
      </c>
      <c r="R17">
        <v>500</v>
      </c>
      <c r="S17" s="5">
        <v>50</v>
      </c>
      <c r="T17" t="s">
        <v>31</v>
      </c>
      <c r="V17" t="s">
        <v>88</v>
      </c>
      <c r="W17" t="s">
        <v>89</v>
      </c>
      <c r="X17" t="s">
        <v>134</v>
      </c>
    </row>
    <row r="18" spans="1:24" x14ac:dyDescent="0.3">
      <c r="A18">
        <v>16</v>
      </c>
      <c r="B18" t="s">
        <v>74</v>
      </c>
      <c r="C18">
        <v>2015</v>
      </c>
      <c r="D18" t="s">
        <v>75</v>
      </c>
      <c r="E18" t="s">
        <v>76</v>
      </c>
      <c r="F18" t="str">
        <f t="shared" si="0"/>
        <v>27583_Evt_Nimes_5min_Z2_NIMES_2015</v>
      </c>
      <c r="G18" t="str">
        <f t="shared" si="3"/>
        <v>D:\Nabil\Nimes\lames_eau_Vistre_Aval\2015</v>
      </c>
      <c r="H18" t="s">
        <v>38</v>
      </c>
      <c r="J18" t="s">
        <v>77</v>
      </c>
      <c r="K18">
        <v>1</v>
      </c>
      <c r="L18">
        <v>12</v>
      </c>
      <c r="M18">
        <v>120</v>
      </c>
      <c r="N18">
        <v>5</v>
      </c>
      <c r="O18" t="s">
        <v>29</v>
      </c>
      <c r="P18" t="s">
        <v>78</v>
      </c>
      <c r="Q18">
        <v>27583</v>
      </c>
      <c r="R18">
        <v>500</v>
      </c>
      <c r="S18" s="5">
        <v>50</v>
      </c>
      <c r="T18" t="s">
        <v>31</v>
      </c>
      <c r="V18" t="s">
        <v>90</v>
      </c>
      <c r="W18" t="s">
        <v>91</v>
      </c>
      <c r="X18" t="s">
        <v>92</v>
      </c>
    </row>
    <row r="19" spans="1:24" x14ac:dyDescent="0.3">
      <c r="A19">
        <v>17</v>
      </c>
      <c r="B19" t="s">
        <v>74</v>
      </c>
      <c r="C19">
        <v>2016</v>
      </c>
      <c r="D19" t="s">
        <v>75</v>
      </c>
      <c r="E19" t="s">
        <v>76</v>
      </c>
      <c r="F19" t="str">
        <f t="shared" ref="F19:F22" si="4">_xlfn.CONCAT(Q19,"_",T19,"_",B19,"_",N19,O19,"_",D19,"_",E19,"_",C19)</f>
        <v>27583_Evt_Nimes_5min_Z2_NIMES_2016</v>
      </c>
      <c r="G19" t="str">
        <f t="shared" si="3"/>
        <v>D:\Nabil\Nimes\lames_eau_Vistre_Aval\2016</v>
      </c>
      <c r="H19" t="s">
        <v>38</v>
      </c>
      <c r="J19" t="s">
        <v>77</v>
      </c>
      <c r="K19">
        <v>1</v>
      </c>
      <c r="L19">
        <v>12</v>
      </c>
      <c r="M19">
        <v>120</v>
      </c>
      <c r="N19">
        <v>5</v>
      </c>
      <c r="O19" t="s">
        <v>29</v>
      </c>
      <c r="P19" t="s">
        <v>78</v>
      </c>
      <c r="Q19">
        <v>27583</v>
      </c>
      <c r="R19">
        <v>500</v>
      </c>
      <c r="S19" s="5">
        <v>50</v>
      </c>
      <c r="T19" t="s">
        <v>31</v>
      </c>
      <c r="V19" t="s">
        <v>90</v>
      </c>
      <c r="W19" t="s">
        <v>91</v>
      </c>
      <c r="X19" t="s">
        <v>93</v>
      </c>
    </row>
    <row r="20" spans="1:24" x14ac:dyDescent="0.3">
      <c r="A20">
        <v>18</v>
      </c>
      <c r="B20" t="s">
        <v>74</v>
      </c>
      <c r="C20">
        <v>2021</v>
      </c>
      <c r="D20" t="s">
        <v>75</v>
      </c>
      <c r="E20" t="s">
        <v>76</v>
      </c>
      <c r="F20" t="str">
        <f t="shared" si="4"/>
        <v>27583_Evt_Nimes_5min_Z2_NIMES_2021</v>
      </c>
      <c r="G20" t="str">
        <f t="shared" si="3"/>
        <v>D:\Nabil\Nimes\lames_eau_Vistre_Aval\2021</v>
      </c>
      <c r="H20" t="s">
        <v>38</v>
      </c>
      <c r="J20" t="s">
        <v>77</v>
      </c>
      <c r="K20">
        <v>1</v>
      </c>
      <c r="L20">
        <v>12</v>
      </c>
      <c r="M20">
        <v>120</v>
      </c>
      <c r="N20">
        <v>5</v>
      </c>
      <c r="O20" t="s">
        <v>29</v>
      </c>
      <c r="P20" t="s">
        <v>78</v>
      </c>
      <c r="Q20">
        <v>27583</v>
      </c>
      <c r="R20">
        <v>500</v>
      </c>
      <c r="S20" s="5">
        <v>50</v>
      </c>
      <c r="T20" t="s">
        <v>31</v>
      </c>
      <c r="V20" t="s">
        <v>94</v>
      </c>
      <c r="W20" t="s">
        <v>95</v>
      </c>
      <c r="X20" t="s">
        <v>96</v>
      </c>
    </row>
    <row r="21" spans="1:24" x14ac:dyDescent="0.3">
      <c r="A21">
        <v>19</v>
      </c>
      <c r="B21" t="s">
        <v>74</v>
      </c>
      <c r="C21">
        <v>2016</v>
      </c>
      <c r="D21" t="s">
        <v>75</v>
      </c>
      <c r="E21" t="s">
        <v>41</v>
      </c>
      <c r="F21" t="str">
        <f t="shared" si="4"/>
        <v>2154_Evt_Nimes_5min_Z2_MF_2016</v>
      </c>
      <c r="G21" t="str">
        <f>X21</f>
        <v>D:\Nabil\Nimes\lames_eau_Vistre_Aval\Panthere_grille_asc_2016</v>
      </c>
      <c r="H21" t="s">
        <v>27</v>
      </c>
      <c r="J21" t="s">
        <v>97</v>
      </c>
      <c r="K21">
        <v>1</v>
      </c>
      <c r="L21">
        <v>16</v>
      </c>
      <c r="M21">
        <v>1</v>
      </c>
      <c r="N21">
        <v>5</v>
      </c>
      <c r="O21" t="s">
        <v>29</v>
      </c>
      <c r="P21" t="s">
        <v>30</v>
      </c>
      <c r="Q21">
        <v>2154</v>
      </c>
      <c r="R21">
        <v>1000</v>
      </c>
      <c r="S21" s="5">
        <v>100</v>
      </c>
      <c r="T21" t="s">
        <v>31</v>
      </c>
      <c r="U21" t="s">
        <v>98</v>
      </c>
      <c r="X21" t="s">
        <v>99</v>
      </c>
    </row>
    <row r="22" spans="1:24" x14ac:dyDescent="0.3">
      <c r="A22">
        <v>20</v>
      </c>
      <c r="B22" t="s">
        <v>74</v>
      </c>
      <c r="C22">
        <v>2021</v>
      </c>
      <c r="D22" t="s">
        <v>100</v>
      </c>
      <c r="E22" t="s">
        <v>76</v>
      </c>
      <c r="F22" t="str">
        <f t="shared" si="4"/>
        <v>27583_Evt_Nimes_5min_Z3_NIMES_2021</v>
      </c>
      <c r="G22" t="str">
        <f t="shared" ref="G22:G27" si="5">W22</f>
        <v>D:\jobfred\lames_eau_Vistre_Aval\2021</v>
      </c>
      <c r="H22" t="s">
        <v>38</v>
      </c>
      <c r="J22" t="s">
        <v>101</v>
      </c>
      <c r="K22">
        <v>1</v>
      </c>
      <c r="L22">
        <v>12</v>
      </c>
      <c r="M22">
        <v>120</v>
      </c>
      <c r="N22">
        <v>5</v>
      </c>
      <c r="O22" t="s">
        <v>29</v>
      </c>
      <c r="P22" t="s">
        <v>78</v>
      </c>
      <c r="Q22">
        <v>27583</v>
      </c>
      <c r="R22">
        <v>500</v>
      </c>
      <c r="S22" s="5">
        <v>50</v>
      </c>
      <c r="T22" t="s">
        <v>31</v>
      </c>
      <c r="V22" t="s">
        <v>94</v>
      </c>
      <c r="W22" t="s">
        <v>95</v>
      </c>
      <c r="X22" t="s">
        <v>102</v>
      </c>
    </row>
    <row r="23" spans="1:24" x14ac:dyDescent="0.3">
      <c r="A23">
        <v>21</v>
      </c>
      <c r="B23" t="s">
        <v>103</v>
      </c>
      <c r="C23">
        <v>2022</v>
      </c>
      <c r="D23" t="s">
        <v>33</v>
      </c>
      <c r="E23" t="s">
        <v>41</v>
      </c>
      <c r="F23" t="s">
        <v>104</v>
      </c>
      <c r="G23">
        <f t="shared" si="5"/>
        <v>0</v>
      </c>
      <c r="H23" t="s">
        <v>27</v>
      </c>
      <c r="I23" t="s">
        <v>105</v>
      </c>
      <c r="J23" t="s">
        <v>106</v>
      </c>
      <c r="K23">
        <v>1</v>
      </c>
      <c r="L23">
        <v>12</v>
      </c>
      <c r="M23">
        <v>10</v>
      </c>
      <c r="N23">
        <v>15</v>
      </c>
      <c r="O23" t="s">
        <v>29</v>
      </c>
      <c r="P23" t="s">
        <v>78</v>
      </c>
      <c r="Q23" t="s">
        <v>52</v>
      </c>
      <c r="R23">
        <v>1000</v>
      </c>
      <c r="S23" s="5">
        <v>100</v>
      </c>
      <c r="T23" t="s">
        <v>31</v>
      </c>
      <c r="X23" t="s">
        <v>107</v>
      </c>
    </row>
    <row r="24" spans="1:24" x14ac:dyDescent="0.3">
      <c r="A24">
        <v>99</v>
      </c>
      <c r="F24" t="str">
        <f t="shared" si="0"/>
        <v>______</v>
      </c>
      <c r="G24">
        <f t="shared" si="5"/>
        <v>0</v>
      </c>
    </row>
    <row r="25" spans="1:24" x14ac:dyDescent="0.3">
      <c r="A25">
        <v>7</v>
      </c>
      <c r="B25" t="s">
        <v>108</v>
      </c>
      <c r="D25" t="s">
        <v>109</v>
      </c>
      <c r="E25" t="s">
        <v>110</v>
      </c>
      <c r="F25" t="str">
        <f t="shared" si="0"/>
        <v>2154_Stat_SHYREG_-99min_RR_INRAE_</v>
      </c>
      <c r="G25" t="str">
        <f t="shared" si="5"/>
        <v>D:\jobfred\SHYREG_2018_2154</v>
      </c>
      <c r="H25" t="s">
        <v>27</v>
      </c>
      <c r="J25" t="s">
        <v>111</v>
      </c>
      <c r="K25">
        <v>0</v>
      </c>
      <c r="M25">
        <v>1</v>
      </c>
      <c r="N25">
        <v>-99</v>
      </c>
      <c r="O25" t="s">
        <v>29</v>
      </c>
      <c r="P25" t="s">
        <v>30</v>
      </c>
      <c r="Q25">
        <v>2154</v>
      </c>
      <c r="R25">
        <v>1000</v>
      </c>
      <c r="S25">
        <v>100</v>
      </c>
      <c r="T25" t="s">
        <v>112</v>
      </c>
      <c r="V25" t="s">
        <v>113</v>
      </c>
      <c r="W25" t="s">
        <v>114</v>
      </c>
    </row>
    <row r="26" spans="1:24" x14ac:dyDescent="0.3">
      <c r="A26">
        <v>17</v>
      </c>
      <c r="B26" t="s">
        <v>108</v>
      </c>
      <c r="D26" t="s">
        <v>109</v>
      </c>
      <c r="E26" t="s">
        <v>110</v>
      </c>
      <c r="F26" t="str">
        <f t="shared" si="0"/>
        <v>27583_Stat_SHYREG_-99min_RR_INRAE_</v>
      </c>
      <c r="G26" t="str">
        <f t="shared" si="5"/>
        <v>D:\jobfred\SHYREG_2018_27583</v>
      </c>
      <c r="H26" t="s">
        <v>115</v>
      </c>
      <c r="J26" t="s">
        <v>111</v>
      </c>
      <c r="K26">
        <v>0</v>
      </c>
      <c r="M26">
        <v>1</v>
      </c>
      <c r="N26">
        <v>-99</v>
      </c>
      <c r="O26" t="s">
        <v>29</v>
      </c>
      <c r="P26" t="s">
        <v>30</v>
      </c>
      <c r="Q26">
        <v>27583</v>
      </c>
      <c r="R26">
        <v>500</v>
      </c>
      <c r="S26">
        <v>50</v>
      </c>
      <c r="T26" t="s">
        <v>112</v>
      </c>
      <c r="V26" t="s">
        <v>116</v>
      </c>
      <c r="W26" t="s">
        <v>117</v>
      </c>
      <c r="X26" t="s">
        <v>118</v>
      </c>
    </row>
    <row r="27" spans="1:24" x14ac:dyDescent="0.3">
      <c r="A27">
        <v>18</v>
      </c>
      <c r="B27" t="s">
        <v>108</v>
      </c>
      <c r="D27" t="s">
        <v>109</v>
      </c>
      <c r="E27" t="s">
        <v>110</v>
      </c>
      <c r="F27" t="str">
        <f t="shared" si="0"/>
        <v>ProjMF_Stat_SHYREG_-99min_RR_INRAE_</v>
      </c>
      <c r="G27" t="str">
        <f t="shared" si="5"/>
        <v>D:\jobfred\SHYREG_2018_ProjMF</v>
      </c>
      <c r="H27" t="s">
        <v>115</v>
      </c>
      <c r="J27" t="s">
        <v>111</v>
      </c>
      <c r="K27">
        <v>0</v>
      </c>
      <c r="M27">
        <v>1</v>
      </c>
      <c r="N27">
        <v>-99</v>
      </c>
      <c r="O27" t="s">
        <v>29</v>
      </c>
      <c r="P27" t="s">
        <v>30</v>
      </c>
      <c r="Q27" t="s">
        <v>52</v>
      </c>
      <c r="R27" s="4">
        <v>1092.843190094</v>
      </c>
      <c r="S27" s="5">
        <v>109.28431900939999</v>
      </c>
      <c r="T27" t="s">
        <v>112</v>
      </c>
      <c r="W27" t="s">
        <v>119</v>
      </c>
    </row>
    <row r="28" spans="1:24" x14ac:dyDescent="0.3">
      <c r="A28">
        <v>22</v>
      </c>
      <c r="B28" t="s">
        <v>120</v>
      </c>
      <c r="C28">
        <v>2014</v>
      </c>
      <c r="D28" t="s">
        <v>33</v>
      </c>
      <c r="E28" t="s">
        <v>41</v>
      </c>
      <c r="F28" t="str">
        <f t="shared" ref="F28:F32" si="6">_xlfn.CONCAT(Q28,"_",T28,"_",B28,"_",N28,O28,"_",D28,"_",E28,"_",C28)</f>
        <v>2154_Evt_GERS_60min_J1_MF_2014</v>
      </c>
      <c r="G28" t="s">
        <v>121</v>
      </c>
      <c r="H28" t="s">
        <v>38</v>
      </c>
      <c r="K28">
        <v>1</v>
      </c>
      <c r="L28">
        <v>12</v>
      </c>
      <c r="M28">
        <v>10</v>
      </c>
      <c r="N28">
        <v>60</v>
      </c>
      <c r="O28" t="s">
        <v>29</v>
      </c>
      <c r="P28" t="s">
        <v>30</v>
      </c>
      <c r="Q28">
        <v>2154</v>
      </c>
      <c r="R28">
        <v>1000</v>
      </c>
      <c r="S28">
        <v>100</v>
      </c>
      <c r="T28" t="s">
        <v>31</v>
      </c>
    </row>
    <row r="29" spans="1:24" x14ac:dyDescent="0.3">
      <c r="A29">
        <v>23</v>
      </c>
      <c r="B29" t="s">
        <v>120</v>
      </c>
      <c r="C29">
        <v>2014</v>
      </c>
      <c r="D29" t="s">
        <v>33</v>
      </c>
      <c r="E29" t="s">
        <v>110</v>
      </c>
      <c r="F29" t="str">
        <f t="shared" si="6"/>
        <v>2154_Evt_GERS_15min_J1_INRAE_2014</v>
      </c>
      <c r="G29" t="s">
        <v>122</v>
      </c>
      <c r="H29" t="s">
        <v>27</v>
      </c>
      <c r="J29" t="s">
        <v>63</v>
      </c>
      <c r="K29">
        <v>2</v>
      </c>
      <c r="L29">
        <v>12</v>
      </c>
      <c r="M29">
        <v>1</v>
      </c>
      <c r="N29">
        <v>15</v>
      </c>
      <c r="O29" t="s">
        <v>29</v>
      </c>
      <c r="P29" t="s">
        <v>30</v>
      </c>
      <c r="Q29">
        <v>2154</v>
      </c>
      <c r="R29">
        <v>1000</v>
      </c>
      <c r="S29">
        <v>100</v>
      </c>
      <c r="T29" t="s">
        <v>31</v>
      </c>
    </row>
    <row r="30" spans="1:24" x14ac:dyDescent="0.3">
      <c r="A30">
        <v>24</v>
      </c>
      <c r="B30" t="s">
        <v>123</v>
      </c>
      <c r="C30">
        <v>2023</v>
      </c>
      <c r="D30" t="s">
        <v>33</v>
      </c>
      <c r="E30" t="s">
        <v>41</v>
      </c>
      <c r="F30" t="str">
        <f t="shared" si="6"/>
        <v>2154_Evt_RESTONICA_60min_J1_MF_2023</v>
      </c>
      <c r="G30" t="s">
        <v>124</v>
      </c>
      <c r="H30" t="s">
        <v>38</v>
      </c>
      <c r="K30">
        <v>1</v>
      </c>
      <c r="L30">
        <v>12</v>
      </c>
      <c r="M30">
        <v>10</v>
      </c>
      <c r="N30">
        <v>60</v>
      </c>
      <c r="O30" t="s">
        <v>29</v>
      </c>
      <c r="P30" t="s">
        <v>30</v>
      </c>
      <c r="Q30">
        <v>2154</v>
      </c>
      <c r="R30">
        <v>1000</v>
      </c>
      <c r="S30">
        <v>100</v>
      </c>
      <c r="T30" t="s">
        <v>31</v>
      </c>
    </row>
    <row r="31" spans="1:24" x14ac:dyDescent="0.3">
      <c r="A31">
        <v>25</v>
      </c>
      <c r="B31" t="s">
        <v>123</v>
      </c>
      <c r="C31">
        <v>2023</v>
      </c>
      <c r="D31" t="s">
        <v>25</v>
      </c>
      <c r="E31" t="s">
        <v>41</v>
      </c>
      <c r="F31" t="str">
        <f t="shared" si="6"/>
        <v>2154_Evt_RESTONICA_15min_J0_MF_2023</v>
      </c>
      <c r="G31" t="s">
        <v>125</v>
      </c>
      <c r="H31" t="s">
        <v>38</v>
      </c>
      <c r="K31">
        <v>1</v>
      </c>
      <c r="L31">
        <v>12</v>
      </c>
      <c r="M31">
        <v>10</v>
      </c>
      <c r="N31">
        <v>15</v>
      </c>
      <c r="O31" t="s">
        <v>29</v>
      </c>
      <c r="P31" t="s">
        <v>30</v>
      </c>
      <c r="Q31">
        <v>2154</v>
      </c>
      <c r="R31">
        <v>1000</v>
      </c>
      <c r="S31">
        <v>100</v>
      </c>
      <c r="T31" t="s">
        <v>31</v>
      </c>
    </row>
    <row r="32" spans="1:24" x14ac:dyDescent="0.3">
      <c r="A32">
        <v>26</v>
      </c>
      <c r="B32" t="s">
        <v>126</v>
      </c>
      <c r="C32">
        <v>2025</v>
      </c>
      <c r="D32" t="s">
        <v>33</v>
      </c>
      <c r="E32" t="s">
        <v>41</v>
      </c>
      <c r="F32" t="str">
        <f t="shared" si="6"/>
        <v>2975_Evt_Garance_15min_J1_MF_2025</v>
      </c>
      <c r="G32" t="s">
        <v>127</v>
      </c>
      <c r="H32" t="s">
        <v>27</v>
      </c>
      <c r="J32" t="s">
        <v>63</v>
      </c>
      <c r="K32">
        <v>2</v>
      </c>
      <c r="L32">
        <v>12</v>
      </c>
      <c r="M32">
        <v>1</v>
      </c>
      <c r="N32">
        <v>15</v>
      </c>
      <c r="O32" t="s">
        <v>29</v>
      </c>
      <c r="P32" t="s">
        <v>30</v>
      </c>
      <c r="Q32">
        <v>2975</v>
      </c>
      <c r="R32">
        <v>1000</v>
      </c>
      <c r="S32">
        <v>100</v>
      </c>
      <c r="T32" t="s">
        <v>31</v>
      </c>
    </row>
    <row r="33" spans="1:20" x14ac:dyDescent="0.3">
      <c r="A33">
        <v>27</v>
      </c>
      <c r="B33" t="s">
        <v>128</v>
      </c>
      <c r="C33">
        <v>201803</v>
      </c>
      <c r="D33" t="s">
        <v>33</v>
      </c>
      <c r="E33" t="s">
        <v>41</v>
      </c>
      <c r="F33" t="str">
        <f t="shared" ref="F33" si="7">_xlfn.CONCAT(Q33,"_",T33,"_",B33,"_",N33,O33,"_",D33,"_",E33,"_",C33)</f>
        <v>2154_Evt_RancureAsse_15min_J1_MF_201803</v>
      </c>
      <c r="G33" t="s">
        <v>133</v>
      </c>
      <c r="H33" t="s">
        <v>27</v>
      </c>
      <c r="K33">
        <v>1</v>
      </c>
      <c r="L33">
        <v>12</v>
      </c>
      <c r="M33">
        <v>1</v>
      </c>
      <c r="N33">
        <v>15</v>
      </c>
      <c r="O33" t="s">
        <v>29</v>
      </c>
      <c r="P33" t="s">
        <v>30</v>
      </c>
      <c r="Q33">
        <v>2154</v>
      </c>
      <c r="R33">
        <v>1000</v>
      </c>
      <c r="S33">
        <v>100</v>
      </c>
      <c r="T33" t="s">
        <v>31</v>
      </c>
    </row>
    <row r="34" spans="1:20" x14ac:dyDescent="0.3">
      <c r="A34">
        <v>28</v>
      </c>
      <c r="B34" t="s">
        <v>128</v>
      </c>
      <c r="C34">
        <v>201912</v>
      </c>
      <c r="D34" t="s">
        <v>33</v>
      </c>
      <c r="E34" t="s">
        <v>41</v>
      </c>
      <c r="F34" t="str">
        <f t="shared" ref="F34" si="8">_xlfn.CONCAT(Q34,"_",T34,"_",B34,"_",N34,O34,"_",D34,"_",E34,"_",C34)</f>
        <v>2154_Evt_RancureAsse_15min_J1_MF_201912</v>
      </c>
      <c r="G34" t="s">
        <v>129</v>
      </c>
      <c r="H34" t="s">
        <v>27</v>
      </c>
      <c r="K34">
        <v>1</v>
      </c>
      <c r="L34">
        <v>12</v>
      </c>
      <c r="M34">
        <v>1</v>
      </c>
      <c r="N34">
        <v>15</v>
      </c>
      <c r="O34" t="s">
        <v>29</v>
      </c>
      <c r="P34" t="s">
        <v>30</v>
      </c>
      <c r="Q34">
        <v>2154</v>
      </c>
      <c r="R34">
        <v>1000</v>
      </c>
      <c r="S34">
        <v>100</v>
      </c>
      <c r="T34" t="s">
        <v>31</v>
      </c>
    </row>
    <row r="35" spans="1:20" x14ac:dyDescent="0.3">
      <c r="A35">
        <v>29</v>
      </c>
      <c r="B35" t="s">
        <v>128</v>
      </c>
      <c r="C35">
        <v>201911</v>
      </c>
      <c r="D35" t="s">
        <v>33</v>
      </c>
      <c r="E35" t="s">
        <v>41</v>
      </c>
      <c r="F35" t="str">
        <f t="shared" ref="F35" si="9">_xlfn.CONCAT(Q35,"_",T35,"_",B35,"_",N35,O35,"_",D35,"_",E35,"_",C35)</f>
        <v>2154_Evt_RancureAsse_15min_J1_MF_201911</v>
      </c>
      <c r="G35" t="s">
        <v>130</v>
      </c>
      <c r="H35" t="s">
        <v>27</v>
      </c>
      <c r="K35">
        <v>1</v>
      </c>
      <c r="L35">
        <v>12</v>
      </c>
      <c r="M35">
        <v>1</v>
      </c>
      <c r="N35">
        <v>15</v>
      </c>
      <c r="O35" t="s">
        <v>29</v>
      </c>
      <c r="P35" t="s">
        <v>30</v>
      </c>
      <c r="Q35">
        <v>2154</v>
      </c>
      <c r="R35">
        <v>1000</v>
      </c>
      <c r="S35">
        <v>100</v>
      </c>
      <c r="T35" t="s">
        <v>31</v>
      </c>
    </row>
    <row r="36" spans="1:20" x14ac:dyDescent="0.3">
      <c r="A36">
        <v>30</v>
      </c>
      <c r="B36" t="s">
        <v>128</v>
      </c>
      <c r="C36">
        <v>201910</v>
      </c>
      <c r="D36" t="s">
        <v>33</v>
      </c>
      <c r="E36" t="s">
        <v>41</v>
      </c>
      <c r="F36" t="str">
        <f t="shared" ref="F36" si="10">_xlfn.CONCAT(Q36,"_",T36,"_",B36,"_",N36,O36,"_",D36,"_",E36,"_",C36)</f>
        <v>2154_Evt_RancureAsse_15min_J1_MF_201910</v>
      </c>
      <c r="G36" t="s">
        <v>131</v>
      </c>
      <c r="H36" t="s">
        <v>27</v>
      </c>
      <c r="K36">
        <v>1</v>
      </c>
      <c r="L36">
        <v>12</v>
      </c>
      <c r="M36">
        <v>1</v>
      </c>
      <c r="N36">
        <v>15</v>
      </c>
      <c r="O36" t="s">
        <v>29</v>
      </c>
      <c r="P36" t="s">
        <v>30</v>
      </c>
      <c r="Q36">
        <v>2154</v>
      </c>
      <c r="R36">
        <v>1000</v>
      </c>
      <c r="S36">
        <v>100</v>
      </c>
      <c r="T36" t="s">
        <v>31</v>
      </c>
    </row>
    <row r="37" spans="1:20" x14ac:dyDescent="0.3">
      <c r="A37">
        <v>31</v>
      </c>
      <c r="B37" t="s">
        <v>128</v>
      </c>
      <c r="C37">
        <v>201810</v>
      </c>
      <c r="D37" t="s">
        <v>33</v>
      </c>
      <c r="E37" t="s">
        <v>41</v>
      </c>
      <c r="F37" t="str">
        <f t="shared" ref="F37" si="11">_xlfn.CONCAT(Q37,"_",T37,"_",B37,"_",N37,O37,"_",D37,"_",E37,"_",C37)</f>
        <v>2154_Evt_RancureAsse_15min_J1_MF_201810</v>
      </c>
      <c r="G37" t="s">
        <v>132</v>
      </c>
      <c r="H37" t="s">
        <v>27</v>
      </c>
      <c r="K37">
        <v>1</v>
      </c>
      <c r="L37">
        <v>12</v>
      </c>
      <c r="M37">
        <v>1</v>
      </c>
      <c r="N37">
        <v>15</v>
      </c>
      <c r="O37" t="s">
        <v>29</v>
      </c>
      <c r="P37" t="s">
        <v>30</v>
      </c>
      <c r="Q37">
        <v>2154</v>
      </c>
      <c r="R37">
        <v>1000</v>
      </c>
      <c r="S37">
        <v>100</v>
      </c>
      <c r="T37" t="s">
        <v>31</v>
      </c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M. Nabil HOCINI</dc:creator>
  <dc:description/>
  <cp:lastModifiedBy>Nabil HOCINI</cp:lastModifiedBy>
  <cp:revision>7</cp:revision>
  <dcterms:created xsi:type="dcterms:W3CDTF">2022-06-21T15:44:56Z</dcterms:created>
  <dcterms:modified xsi:type="dcterms:W3CDTF">2026-09-04T22:32:16Z</dcterms:modified>
  <dc:language>fr-FR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