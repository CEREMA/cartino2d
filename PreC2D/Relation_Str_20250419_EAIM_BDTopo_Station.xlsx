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ens" sheetId="1" state="visible" r:id="rId2"/>
    <sheet name="BDTopo" sheetId="2" state="visible" r:id="rId3"/>
    <sheet name="Cn_Stockage" sheetId="3" state="visible" r:id="rId4"/>
    <sheet name="Explications_Colonnes" sheetId="4" state="visible" r:id="rId5"/>
    <sheet name="Feuil1" sheetId="5" state="visible" r:id="rId6"/>
    <sheet name="CLC_IA_Mistral" sheetId="6" state="visible" r:id="rId7"/>
    <sheet name="RPG" sheetId="7" state="visible" r:id="rId8"/>
  </sheets>
  <definedNames>
    <definedName name="_xlnm._FilterDatabase" localSheetId="0" hidden="1">Liens!$A$1:$V$16</definedName>
    <definedName name="_xlnm._FilterDatabase" localSheetId="6" hidden="1">RPG!$A$2:$C$26</definedName>
    <definedName name="_xlnm._FilterDatabase" localSheetId="0" hidden="1">Liens!$A$1:$V$16</definedName>
    <definedName name="_xlnm._FilterDatabase" localSheetId="6" hidden="1">RPG!$A$2:$C$26</definedName>
  </definedNames>
  <calcPr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tc={00DA0082-008E-47F5-9D71-00DC005700B4}</author>
    <author>tc={001D0026-0028-41E0-ADB6-006A005400ED}</author>
    <author>tc={00A80029-00B3-483C-875A-0039008D0013}</author>
    <author>tc={007F0009-00DB-4CFA-BF3A-00D500530037}</author>
    <author>tc={005A0009-005F-45B1-93A4-005000CB00CB}</author>
    <author>tc={002500B0-0092-4618-A8DA-00BD006E0028}</author>
    <author>tc={00800048-00DB-4A8F-9590-00B600890008}</author>
    <author>tc={003F0060-0036-4297-BF72-00D700BD000C}</author>
  </authors>
  <commentList>
    <comment ref="B1" authorId="0" xr:uid="{00DA0082-008E-47F5-9D71-00DC005700B4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K1" authorId="1" xr:uid="{001D0026-0028-41E0-ADB6-006A005400ED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  <comment ref="L1" authorId="2" xr:uid="{00A80029-00B3-483C-875A-0039008D001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N1" authorId="3" xr:uid="{007F0009-00DB-4CFA-BF3A-00D500530037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O1" authorId="4" xr:uid="{005A0009-005F-45B1-93A4-005000CB00CB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P1" authorId="5" xr:uid="{002500B0-0092-4618-A8DA-00BD006E002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R1" authorId="6" xr:uid="{00800048-00DB-4A8F-9590-00B60089000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J1" authorId="7" xr:uid="{003F0060-0036-4297-BF72-00D700BD000C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tc={00EB004B-00B1-4B56-879E-004100800038}</author>
    <author>tc={003F009F-00F0-4A15-8727-0018009B0072}</author>
    <author>tc={00AC00B7-00A9-46C1-9B91-000500AA0006}</author>
    <author>tc={00D60031-0029-466D-8357-00B5009E0025}</author>
    <author>tc={00140070-00CD-45CD-8A69-0058003E0061}</author>
    <author>tc={00F4001A-008A-43BD-86A5-002300A20033}</author>
    <author>tc={00B4009B-0065-4BB8-A466-00CE00B70075}</author>
    <author>tc={00CA00A1-00FB-4062-82F2-001700BE00E8}</author>
  </authors>
  <commentList>
    <comment ref="A2" authorId="0" xr:uid="{00EB004B-00B1-4B56-879E-00410080003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>
        </r>
      </text>
    </comment>
    <comment ref="A11" authorId="1" xr:uid="{003F009F-00F0-4A15-8727-0018009B0072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>
        </r>
      </text>
    </comment>
    <comment ref="A12" authorId="2" xr:uid="{00AC00B7-00A9-46C1-9B91-000500AA0006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>
        </r>
      </text>
    </comment>
    <comment ref="A13" authorId="3" xr:uid="{00D60031-0029-466D-8357-00B5009E002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>
        </r>
      </text>
    </comment>
    <comment ref="A14" authorId="4" xr:uid="{00140070-00CD-45CD-8A69-0058003E0061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>
        </r>
      </text>
    </comment>
    <comment ref="A15" authorId="5" xr:uid="{00F4001A-008A-43BD-86A5-002300A20033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>
        </r>
      </text>
    </comment>
    <comment ref="A9" authorId="6" xr:uid="{00B4009B-0065-4BB8-A466-00CE00B70075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>
        </r>
      </text>
    </comment>
    <comment ref="A10" authorId="7" xr:uid="{00CA00A1-00FB-4062-82F2-001700BE00E8}">
      <text>
        <r>
          <rPr>
            <b/>
            <sz val="9"/>
            <rFont val="Tahoma"/>
          </rPr>
          <t xml:space="preserve">Auteur inconnu:</t>
        </r>
        <r>
          <rPr>
            <sz val="9"/>
            <rFont val="Tahoma"/>
          </rPr>
          <t xml:space="preserve">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>
        </r>
      </text>
    </comment>
  </commentList>
</comments>
</file>

<file path=xl/sharedStrings.xml><?xml version="1.0" encoding="utf-8"?>
<sst xmlns="http://schemas.openxmlformats.org/spreadsheetml/2006/main" count="161" uniqueCount="161">
  <si>
    <t>ID</t>
  </si>
  <si>
    <t>Ord_Str</t>
  </si>
  <si>
    <t>Strickler</t>
  </si>
  <si>
    <t>Ord_CN</t>
  </si>
  <si>
    <t>CN_A</t>
  </si>
  <si>
    <t>CN_B</t>
  </si>
  <si>
    <t>CN_C</t>
  </si>
  <si>
    <t>CN_D</t>
  </si>
  <si>
    <t>NomCerema</t>
  </si>
  <si>
    <t>Chemin</t>
  </si>
  <si>
    <t>Fichier</t>
  </si>
  <si>
    <t>CoucheGPKG</t>
  </si>
  <si>
    <t>coucheIntersection</t>
  </si>
  <si>
    <t>Champ</t>
  </si>
  <si>
    <t>ValChampIni</t>
  </si>
  <si>
    <t>ValChampRecherche</t>
  </si>
  <si>
    <t>GarderEnlever</t>
  </si>
  <si>
    <t>Buffer_Champ</t>
  </si>
  <si>
    <t>Superficie</t>
  </si>
  <si>
    <t>Type</t>
  </si>
  <si>
    <t>Type_geometrie</t>
  </si>
  <si>
    <t xml:space="preserve">Valeur Strickler</t>
  </si>
  <si>
    <t xml:space="preserve">choix subjectif</t>
  </si>
  <si>
    <t>BDTopo</t>
  </si>
  <si>
    <t>surface_hydrographique</t>
  </si>
  <si>
    <t>persistance</t>
  </si>
  <si>
    <t>Permanent</t>
  </si>
  <si>
    <t xml:space="preserve">LIKE '%Permanent%'</t>
  </si>
  <si>
    <t>Vecteur</t>
  </si>
  <si>
    <t>Polygone</t>
  </si>
  <si>
    <t>Intermittent</t>
  </si>
  <si>
    <t xml:space="preserve">LIKE '%Intermittent%'</t>
  </si>
  <si>
    <t xml:space="preserve">Curve Number_A</t>
  </si>
  <si>
    <t>Batiments</t>
  </si>
  <si>
    <t>Routes</t>
  </si>
  <si>
    <t>IGN</t>
  </si>
  <si>
    <t xml:space="preserve">BDT_3-0_GPKG_LAMB93_D034-ED2021-09-15 troncon_de_route</t>
  </si>
  <si>
    <t xml:space="preserve">BDT_3-0_GPKG_LAMB93_D034-ED2021-09-15 piste_d_aerodrome</t>
  </si>
  <si>
    <t xml:space="preserve">Voies ferrées</t>
  </si>
  <si>
    <t xml:space="preserve">BDT_3-0_GPKG_LAMB93_D034-ED2021-09-15 troncon_de_voie_ferree</t>
  </si>
  <si>
    <t xml:space="preserve">Surface hydrographique</t>
  </si>
  <si>
    <t xml:space="preserve">BDT_3-0_GPKG_LAMB93_D034-ED2021-09-15 surface_hydrographique</t>
  </si>
  <si>
    <t>Forêt</t>
  </si>
  <si>
    <t xml:space="preserve">BDT_3-0_GPKG_LAMB93_D034-ED2021-09-15 foret_publique</t>
  </si>
  <si>
    <t xml:space="preserve">Zone de végétation</t>
  </si>
  <si>
    <t xml:space="preserve">BDT_3-0_GPKG_LAMB93_D034-ED2021-09-15 zone_de_vegetation</t>
  </si>
  <si>
    <t>Cimétière</t>
  </si>
  <si>
    <t>Agriculture</t>
  </si>
  <si>
    <t xml:space="preserve">Zone d'activités</t>
  </si>
  <si>
    <t>Canaux</t>
  </si>
  <si>
    <t>Reste</t>
  </si>
  <si>
    <t>CN</t>
  </si>
  <si>
    <t xml:space="preserve">Stockage maximal (mm) </t>
  </si>
  <si>
    <t>Identifiant</t>
  </si>
  <si>
    <t xml:space="preserve">Ordre de priorité Strickler</t>
  </si>
  <si>
    <t xml:space="preserve">Valeur du Strickler (si nul, valeur lue dans le fichier)</t>
  </si>
  <si>
    <t xml:space="preserve">Valeur du CN (si nul, valeur lue dans le fichier)</t>
  </si>
  <si>
    <t xml:space="preserve">Chemin de la données ou code</t>
  </si>
  <si>
    <t xml:space="preserve">Nom du fichier</t>
  </si>
  <si>
    <t xml:space="preserve">Nom de la couche dans le fichier (pour format GPKG)</t>
  </si>
  <si>
    <t xml:space="preserve">Champ à analyser (si nécessaire)</t>
  </si>
  <si>
    <t xml:space="preserve">Valeur du Champ compatible R à analyser (si nécessaire)</t>
  </si>
  <si>
    <t xml:space="preserve">Valeur du Champ à analyser (si nécessaire)</t>
  </si>
  <si>
    <t xml:space="preserve">nom du champ pour les tampons (sur des objets linéaires)</t>
  </si>
  <si>
    <t xml:space="preserve">Test de superficies de zones</t>
  </si>
  <si>
    <t xml:space="preserve">vecteur ou raster (non codé pour l'instant)</t>
  </si>
  <si>
    <t xml:space="preserve">lignes, polygones…</t>
  </si>
  <si>
    <t>Liens</t>
  </si>
  <si>
    <t xml:space="preserve">United States
Department of Agriculture
Natural Resources Conservation Service Conservation
Engineering Division Technical
Release 55
June 1986
Urban Hydrology for Small Watersheds
TR-55</t>
  </si>
  <si>
    <t xml:space="preserve">Voir comment enlever les serres</t>
  </si>
  <si>
    <t xml:space="preserve">Batiments sur une route</t>
  </si>
  <si>
    <t xml:space="preserve">voir comment gérer - Obligation pour PPRi Montpellier</t>
  </si>
  <si>
    <t xml:space="preserve">Batiments sur une voie ferrée</t>
  </si>
  <si>
    <t>RPG</t>
  </si>
  <si>
    <t>https://geoservices.ign.fr/rpg</t>
  </si>
  <si>
    <t xml:space="preserve">Le registre parcellaire graphique est une base de données géographiques servant de référence à l'instruction des aides de la politique agricole commune (PAC)</t>
  </si>
  <si>
    <t xml:space="preserve">CORINE Land Cover Class</t>
  </si>
  <si>
    <t>Description</t>
  </si>
  <si>
    <t xml:space="preserve">Curve Number (A)</t>
  </si>
  <si>
    <t xml:space="preserve">Curve Number (B)</t>
  </si>
  <si>
    <t xml:space="preserve">Curve Number (C)</t>
  </si>
  <si>
    <t xml:space="preserve">Curve Number (D)</t>
  </si>
  <si>
    <t>Code_18</t>
  </si>
  <si>
    <t xml:space="preserve">Continuous urban fabric</t>
  </si>
  <si>
    <t xml:space="preserve">Discontinuous urban fabric</t>
  </si>
  <si>
    <t xml:space="preserve">Industrial or commercial units</t>
  </si>
  <si>
    <t xml:space="preserve">Road and rail networks and associated land</t>
  </si>
  <si>
    <t xml:space="preserve">Port areas</t>
  </si>
  <si>
    <t>Airports</t>
  </si>
  <si>
    <t xml:space="preserve">Mineral extraction sites</t>
  </si>
  <si>
    <t xml:space="preserve">Dump sites</t>
  </si>
  <si>
    <t xml:space="preserve">Construction sites</t>
  </si>
  <si>
    <t xml:space="preserve">Green urban areas</t>
  </si>
  <si>
    <t xml:space="preserve">Sport and leisure facilities</t>
  </si>
  <si>
    <t xml:space="preserve">Non-irrigated arable land</t>
  </si>
  <si>
    <t xml:space="preserve">Permanently irrigated land</t>
  </si>
  <si>
    <t xml:space="preserve">Rice fields</t>
  </si>
  <si>
    <t>Vineyards</t>
  </si>
  <si>
    <t xml:space="preserve">Fruit trees and berry plantations</t>
  </si>
  <si>
    <t xml:space="preserve">Olive groves</t>
  </si>
  <si>
    <t>Pastures</t>
  </si>
  <si>
    <t xml:space="preserve">Annual crops associated with permanent crops</t>
  </si>
  <si>
    <t xml:space="preserve">Complex cultivation patterns</t>
  </si>
  <si>
    <t xml:space="preserve">Land principally occupied by agriculture, with significant areas of natural vegetation</t>
  </si>
  <si>
    <t xml:space="preserve">Agro-forestry areas</t>
  </si>
  <si>
    <t xml:space="preserve">Broad-leaved forest</t>
  </si>
  <si>
    <t xml:space="preserve">Coniferous forest</t>
  </si>
  <si>
    <t xml:space="preserve">Mixed forest</t>
  </si>
  <si>
    <t xml:space="preserve">Natural grasslands</t>
  </si>
  <si>
    <t xml:space="preserve">Moors and heathland</t>
  </si>
  <si>
    <t xml:space="preserve">Sclerophyllous vegetation</t>
  </si>
  <si>
    <t xml:space="preserve">Transitional woodland-shrub</t>
  </si>
  <si>
    <t xml:space="preserve">Beaches, dunes, sands</t>
  </si>
  <si>
    <t xml:space="preserve">Bare rocks</t>
  </si>
  <si>
    <t xml:space="preserve">Sparsely vegetated areas</t>
  </si>
  <si>
    <t xml:space="preserve">Burnt areas</t>
  </si>
  <si>
    <t xml:space="preserve">Glaciers and perpetual snow</t>
  </si>
  <si>
    <t xml:space="preserve">Inland marshes</t>
  </si>
  <si>
    <t xml:space="preserve">Peat bogs</t>
  </si>
  <si>
    <t xml:space="preserve">Salt marshes</t>
  </si>
  <si>
    <t>Salines</t>
  </si>
  <si>
    <t xml:space="preserve">Intertidal flats</t>
  </si>
  <si>
    <t xml:space="preserve">Water courses</t>
  </si>
  <si>
    <t xml:space="preserve">Water bodies</t>
  </si>
  <si>
    <t xml:space="preserve">Coastal lagoons</t>
  </si>
  <si>
    <t>Estuaries</t>
  </si>
  <si>
    <t xml:space="preserve">Sea and ocean</t>
  </si>
  <si>
    <t xml:space="preserve">Mistral manuel</t>
  </si>
  <si>
    <t xml:space="preserve">Mistral automatique</t>
  </si>
  <si>
    <t>CODE_GROUPE_CULTURE</t>
  </si>
  <si>
    <t>LIBELLE_GROUPE_CULTURE</t>
  </si>
  <si>
    <t xml:space="preserve">Sol A (CN)</t>
  </si>
  <si>
    <t xml:space="preserve">Sol B (CN)</t>
  </si>
  <si>
    <t xml:space="preserve">Sol C (CN)</t>
  </si>
  <si>
    <t xml:space="preserve">Sol D (CN)</t>
  </si>
  <si>
    <t xml:space="preserve">Groupe de Sol (RPG)</t>
  </si>
  <si>
    <t xml:space="preserve">Blé tendre</t>
  </si>
  <si>
    <t xml:space="preserve">Curve Number (CN)</t>
  </si>
  <si>
    <t xml:space="preserve">Maïs grain et ensilage</t>
  </si>
  <si>
    <t>Orge</t>
  </si>
  <si>
    <t xml:space="preserve">Autres céréales</t>
  </si>
  <si>
    <t>Colza</t>
  </si>
  <si>
    <t>Tournesol</t>
  </si>
  <si>
    <t xml:space="preserve">Autres oléagineux</t>
  </si>
  <si>
    <t>Protéagineux</t>
  </si>
  <si>
    <t xml:space="preserve">Plantes à fibres</t>
  </si>
  <si>
    <t xml:space="preserve">Gel (surfaces gelées sans production)</t>
  </si>
  <si>
    <t>Riz</t>
  </si>
  <si>
    <t xml:space="preserve">Légumineuses à grains</t>
  </si>
  <si>
    <t>Fourrage</t>
  </si>
  <si>
    <t xml:space="preserve">Estives et landes</t>
  </si>
  <si>
    <t xml:space="preserve">Prairies permanentes</t>
  </si>
  <si>
    <t xml:space="preserve">Prairies temporaires</t>
  </si>
  <si>
    <t>Vergers</t>
  </si>
  <si>
    <t>Vignes</t>
  </si>
  <si>
    <t xml:space="preserve">Fruits à coque</t>
  </si>
  <si>
    <t>Oliviers</t>
  </si>
  <si>
    <t xml:space="preserve">Autres cultures industrielles</t>
  </si>
  <si>
    <t xml:space="preserve">Légumes ou fleurs</t>
  </si>
  <si>
    <t xml:space="preserve">Canne à sucre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</si>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</sst>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</font>
    <font>
      <u/>
      <sz val="11.000000"/>
      <color rgb="FF0563C1"/>
      <name val="Calibri"/>
    </font>
    <font>
      <sz val="11.000000"/>
      <color theme="1"/>
      <name val="Arial"/>
      <scheme val="minor"/>
    </font>
    <font>
      <sz val="8.000000"/>
      <name val="Calibri"/>
    </font>
    <font>
      <sz val="8.000000"/>
      <color theme="1"/>
      <name val="Calibri"/>
    </font>
    <font>
      <sz val="12.000000"/>
      <name val="Calibri"/>
    </font>
    <font>
      <b/>
      <sz val="12.000000"/>
      <name val="Times New Roman"/>
    </font>
    <font>
      <sz val="12.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DAE3F3"/>
        <bgColor indexed="27"/>
      </patternFill>
    </fill>
    <fill>
      <patternFill patternType="solid">
        <fgColor rgb="FFFFC000"/>
        <bgColor indexed="52"/>
      </patternFill>
    </fill>
    <fill>
      <patternFill patternType="solid">
        <fgColor rgb="FF00B050"/>
        <bgColor indexed="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5"/>
        <bgColor indexed="5"/>
      </patternFill>
    </fill>
    <fill>
      <patternFill patternType="solid">
        <fgColor rgb="FF00B050"/>
        <bgColor rgb="FF00B05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1" applyFont="1" applyFill="1" applyBorder="0" applyProtection="0"/>
    <xf fontId="2" fillId="0" borderId="0" numFmtId="0" applyNumberFormat="1" applyFont="1" applyFill="1" applyBorder="1"/>
  </cellStyleXfs>
  <cellXfs count="45">
    <xf fontId="0" fillId="0" borderId="0" numFmtId="0" xfId="0"/>
    <xf fontId="0" fillId="0" borderId="0" numFmtId="0" xfId="0"/>
    <xf fontId="3" fillId="0" borderId="0" numFmtId="0" xfId="0" applyFont="1"/>
    <xf fontId="0" fillId="0" borderId="1" numFmtId="0" xfId="0" applyBorder="1" applyAlignment="1">
      <alignment horizontal="right" textRotation="90" vertical="top"/>
    </xf>
    <xf fontId="0" fillId="2" borderId="1" numFmtId="0" xfId="0" applyFill="1" applyBorder="1" applyAlignment="1">
      <alignment horizontal="right" textRotation="90" vertical="top"/>
    </xf>
    <xf fontId="3" fillId="0" borderId="1" numFmtId="0" xfId="0" applyFont="1" applyBorder="1" applyAlignment="1">
      <alignment horizontal="right" textRotation="90" vertical="top" wrapText="1"/>
    </xf>
    <xf fontId="0" fillId="0" borderId="1" numFmtId="0" xfId="0" applyBorder="1" applyAlignment="1">
      <alignment horizontal="right" textRotation="90" vertical="top" wrapText="1"/>
    </xf>
    <xf fontId="3" fillId="2" borderId="1" numFmtId="0" xfId="0" applyFont="1" applyFill="1" applyBorder="1" applyAlignment="1">
      <alignment horizontal="right" textRotation="90" vertical="top"/>
    </xf>
    <xf fontId="0" fillId="2" borderId="1" numFmtId="0" xfId="0" applyFill="1" applyBorder="1"/>
    <xf fontId="0" fillId="0" borderId="1" numFmtId="0" xfId="0" applyBorder="1"/>
    <xf fontId="0" fillId="3" borderId="1" numFmtId="0" xfId="0" applyFill="1" applyBorder="1"/>
    <xf fontId="3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0" fillId="0" borderId="1" numFmtId="0" xfId="0" applyBorder="1"/>
    <xf fontId="0" fillId="0" borderId="1" numFmtId="0" xfId="0" applyBorder="1" applyAlignment="1">
      <alignment wrapText="1"/>
    </xf>
    <xf fontId="3" fillId="0" borderId="1" numFmtId="0" xfId="0" applyFont="1" applyBorder="1"/>
    <xf fontId="0" fillId="4" borderId="1" numFmtId="0" xfId="0" applyFill="1" applyBorder="1"/>
    <xf fontId="0" fillId="5" borderId="1" numFmtId="0" xfId="0" applyFill="1" applyBorder="1"/>
    <xf fontId="3" fillId="5" borderId="1" numFmtId="0" xfId="0" applyFont="1" applyFill="1" applyBorder="1" applyAlignment="1">
      <alignment wrapText="1"/>
    </xf>
    <xf fontId="0" fillId="5" borderId="1" numFmtId="0" xfId="0" applyFill="1" applyBorder="1" applyAlignment="1">
      <alignment wrapText="1"/>
    </xf>
    <xf fontId="3" fillId="5" borderId="1" numFmtId="0" xfId="0" applyFont="1" applyFill="1" applyBorder="1"/>
    <xf fontId="0" fillId="5" borderId="0" numFmtId="0" xfId="0" applyFill="1"/>
    <xf fontId="0" fillId="6" borderId="1" numFmtId="0" xfId="2" applyFill="1" applyBorder="1" applyAlignment="1">
      <alignment vertical="center" wrapText="1"/>
    </xf>
    <xf fontId="4" fillId="6" borderId="1" numFmtId="0" xfId="2" applyFont="1" applyFill="1" applyBorder="1" applyAlignment="1">
      <alignment vertical="center" wrapText="1"/>
    </xf>
    <xf fontId="4" fillId="0" borderId="1" numFmtId="0" xfId="0" applyFont="1" applyBorder="1" applyAlignment="1">
      <alignment wrapText="1"/>
    </xf>
    <xf fontId="4" fillId="0" borderId="1" numFmtId="0" xfId="0" applyFont="1" applyBorder="1"/>
    <xf fontId="0" fillId="6" borderId="1" numFmtId="0" xfId="2" applyFill="1" applyBorder="1"/>
    <xf fontId="0" fillId="7" borderId="1" numFmtId="0" xfId="2" applyFill="1" applyBorder="1" applyAlignment="1">
      <alignment vertical="center" wrapText="1"/>
    </xf>
    <xf fontId="0" fillId="4" borderId="1" numFmtId="0" xfId="2" applyFill="1" applyBorder="1"/>
    <xf fontId="5" fillId="0" borderId="1" numFmtId="0" xfId="0" applyFont="1" applyBorder="1" applyAlignment="1">
      <alignment horizontal="left" vertical="center" wrapText="1"/>
    </xf>
    <xf fontId="0" fillId="0" borderId="2" numFmtId="0" xfId="0" applyBorder="1"/>
    <xf fontId="0" fillId="0" borderId="1" numFmtId="1" xfId="0" applyNumberFormat="1" applyBorder="1"/>
    <xf fontId="3" fillId="2" borderId="1" numFmtId="0" xfId="0" applyFont="1" applyFill="1" applyBorder="1"/>
    <xf fontId="0" fillId="0" borderId="0" numFmtId="0" xfId="0" applyAlignment="1">
      <alignment wrapText="1"/>
    </xf>
    <xf fontId="1" fillId="0" borderId="0" numFmtId="0" xfId="1" applyFont="1" applyAlignment="1" applyProtection="1">
      <alignment wrapText="1"/>
    </xf>
    <xf fontId="6" fillId="0" borderId="0" numFmtId="0" xfId="0" applyFont="1" applyAlignment="1">
      <alignment horizontal="center" vertical="center" wrapText="1"/>
    </xf>
    <xf fontId="7" fillId="0" borderId="0" numFmtId="0" xfId="0" applyFont="1" applyAlignment="1">
      <alignment horizontal="left" vertical="center" wrapText="1"/>
    </xf>
    <xf fontId="2" fillId="0" borderId="0" numFmtId="0" xfId="2" applyFont="1"/>
    <xf fontId="2" fillId="0" borderId="0" numFmtId="0" xfId="2" applyFont="1" applyAlignment="1">
      <alignment horizontal="center"/>
    </xf>
    <xf fontId="2" fillId="6" borderId="0" numFmtId="0" xfId="2" applyFont="1" applyFill="1"/>
    <xf fontId="2" fillId="0" borderId="0" numFmtId="0" xfId="2" applyFont="1" applyAlignment="1">
      <alignment vertical="center" wrapText="1"/>
    </xf>
    <xf fontId="2" fillId="6" borderId="0" numFmtId="0" xfId="2" applyFont="1" applyFill="1" applyAlignment="1">
      <alignment vertical="center" wrapText="1"/>
    </xf>
    <xf fontId="2" fillId="7" borderId="0" numFmtId="0" xfId="2" applyFont="1" applyFill="1" applyAlignment="1">
      <alignment vertical="center" wrapText="1"/>
    </xf>
    <xf fontId="2" fillId="4" borderId="1" numFmtId="0" xfId="2" applyFont="1" applyFill="1" applyBorder="1"/>
    <xf fontId="2" fillId="4" borderId="0" numFmtId="0" xfId="2" applyFont="1" applyFill="1"/>
  </cellXfs>
  <cellStyles count="3">
    <cellStyle name="Lien hypertexte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2305050</xdr:colOff>
      <xdr:row>0</xdr:row>
      <xdr:rowOff>104775</xdr:rowOff>
    </xdr:from>
    <xdr:to>
      <xdr:col>10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693420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17</xdr:col>
      <xdr:colOff>533400</xdr:colOff>
      <xdr:row>0</xdr:row>
      <xdr:rowOff>104775</xdr:rowOff>
    </xdr:from>
    <xdr:to>
      <xdr:col>19</xdr:col>
      <xdr:colOff>114300</xdr:colOff>
      <xdr:row>0</xdr:row>
      <xdr:rowOff>647699</xdr:rowOff>
    </xdr:to>
    <xdr:sp>
      <xdr:nvSpPr>
        <xdr:cNvPr id="0" name=""/>
        <xdr:cNvSpPr/>
      </xdr:nvSpPr>
      <xdr:spPr bwMode="auto">
        <a:xfrm>
          <a:off x="21736050" y="104775"/>
          <a:ext cx="1362075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15</xdr:col>
      <xdr:colOff>1466850</xdr:colOff>
      <xdr:row>0</xdr:row>
      <xdr:rowOff>104775</xdr:rowOff>
    </xdr:from>
    <xdr:to>
      <xdr:col>17</xdr:col>
      <xdr:colOff>257175</xdr:colOff>
      <xdr:row>0</xdr:row>
      <xdr:rowOff>647699</xdr:rowOff>
    </xdr:to>
    <xdr:sp>
      <xdr:nvSpPr>
        <xdr:cNvPr id="0" name=""/>
        <xdr:cNvSpPr/>
      </xdr:nvSpPr>
      <xdr:spPr bwMode="auto">
        <a:xfrm>
          <a:off x="200882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14</xdr:col>
      <xdr:colOff>2181225</xdr:colOff>
      <xdr:row>0</xdr:row>
      <xdr:rowOff>104775</xdr:rowOff>
    </xdr:from>
    <xdr:to>
      <xdr:col>15</xdr:col>
      <xdr:colOff>495299</xdr:colOff>
      <xdr:row>0</xdr:row>
      <xdr:rowOff>647699</xdr:rowOff>
    </xdr:to>
    <xdr:sp>
      <xdr:nvSpPr>
        <xdr:cNvPr id="0" name=""/>
        <xdr:cNvSpPr/>
      </xdr:nvSpPr>
      <xdr:spPr bwMode="auto">
        <a:xfrm>
          <a:off x="1774507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13</xdr:col>
      <xdr:colOff>666750</xdr:colOff>
      <xdr:row>0</xdr:row>
      <xdr:rowOff>104775</xdr:rowOff>
    </xdr:from>
    <xdr:to>
      <xdr:col>14</xdr:col>
      <xdr:colOff>495299</xdr:colOff>
      <xdr:row>0</xdr:row>
      <xdr:rowOff>647699</xdr:rowOff>
    </xdr:to>
    <xdr:sp>
      <xdr:nvSpPr>
        <xdr:cNvPr id="0" name=""/>
        <xdr:cNvSpPr/>
      </xdr:nvSpPr>
      <xdr:spPr bwMode="auto">
        <a:xfrm>
          <a:off x="146875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11</xdr:col>
      <xdr:colOff>942975</xdr:colOff>
      <xdr:row>0</xdr:row>
      <xdr:rowOff>104775</xdr:rowOff>
    </xdr:from>
    <xdr:to>
      <xdr:col>12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11553825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10</xdr:col>
      <xdr:colOff>2152650</xdr:colOff>
      <xdr:row>0</xdr:row>
      <xdr:rowOff>104775</xdr:rowOff>
    </xdr:from>
    <xdr:to>
      <xdr:col>11</xdr:col>
      <xdr:colOff>609600</xdr:colOff>
      <xdr:row>0</xdr:row>
      <xdr:rowOff>647699</xdr:rowOff>
    </xdr:to>
    <xdr:sp>
      <xdr:nvSpPr>
        <xdr:cNvPr id="0" name=""/>
        <xdr:cNvSpPr/>
      </xdr:nvSpPr>
      <xdr:spPr bwMode="auto">
        <a:xfrm>
          <a:off x="9848850" y="104775"/>
          <a:ext cx="1371600" cy="542925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fill="norm" stroke="1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E1"/>
        </a:solidFill>
        <a:ln>
          <a:noFill/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2</xdr:col>
      <xdr:colOff>133350</xdr:colOff>
      <xdr:row>0</xdr:row>
      <xdr:rowOff>104775</xdr:rowOff>
    </xdr:from>
    <xdr:to>
      <xdr:col>7</xdr:col>
      <xdr:colOff>76200</xdr:colOff>
      <xdr:row>0</xdr:row>
      <xdr:rowOff>647699</xdr:rowOff>
    </xdr:to>
    <xdr:sp>
      <xdr:nvSpPr>
        <xdr:cNvPr id="0" name=""/>
        <xdr:cNvSpPr txBox="1"/>
      </xdr:nvSpPr>
      <xdr:spPr bwMode="auto">
        <a:xfrm>
          <a:off x="704850" y="104775"/>
          <a:ext cx="1371600" cy="5429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2" name="ZoneTexte 1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  <a:headEnd type="triangle"/>
        </a:ln>
      </xdr:spPr>
      <xdr:txBody>
        <a:bodyPr/>
        <a:lstStyle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8</xdr:row>
      <xdr:rowOff>38100</xdr:rowOff>
    </xdr:from>
    <xdr:to>
      <xdr:col>1</xdr:col>
      <xdr:colOff>390525</xdr:colOff>
      <xdr:row>23</xdr:row>
      <xdr:rowOff>95250</xdr:rowOff>
    </xdr:to>
    <xdr:sp>
      <xdr:nvSpPr>
        <xdr:cNvPr id="0" name=""/>
        <xdr:cNvSpPr txBox="1"/>
      </xdr:nvSpPr>
      <xdr:spPr bwMode="auto">
        <a:xfrm>
          <a:off x="361950" y="1562100"/>
          <a:ext cx="1323974" cy="291465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7</xdr:row>
      <xdr:rowOff>38100</xdr:rowOff>
    </xdr:from>
    <xdr:to>
      <xdr:col>1</xdr:col>
      <xdr:colOff>390525</xdr:colOff>
      <xdr:row>23</xdr:row>
      <xdr:rowOff>47625</xdr:rowOff>
    </xdr:to>
    <xdr:sp>
      <xdr:nvSpPr>
        <xdr:cNvPr id="0" name=""/>
        <xdr:cNvSpPr txBox="1"/>
      </xdr:nvSpPr>
      <xdr:spPr bwMode="auto">
        <a:xfrm>
          <a:off x="361950" y="1371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13</xdr:row>
      <xdr:rowOff>38100</xdr:rowOff>
    </xdr:from>
    <xdr:to>
      <xdr:col>1</xdr:col>
      <xdr:colOff>390525</xdr:colOff>
      <xdr:row>30</xdr:row>
      <xdr:rowOff>0</xdr:rowOff>
    </xdr:to>
    <xdr:sp>
      <xdr:nvSpPr>
        <xdr:cNvPr id="0" name=""/>
        <xdr:cNvSpPr txBox="1"/>
      </xdr:nvSpPr>
      <xdr:spPr bwMode="auto">
        <a:xfrm>
          <a:off x="361950" y="2514600"/>
          <a:ext cx="1323974" cy="3200400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12</xdr:row>
      <xdr:rowOff>38100</xdr:rowOff>
    </xdr:from>
    <xdr:to>
      <xdr:col>1</xdr:col>
      <xdr:colOff>390525</xdr:colOff>
      <xdr:row>31</xdr:row>
      <xdr:rowOff>47625</xdr:rowOff>
    </xdr:to>
    <xdr:sp>
      <xdr:nvSpPr>
        <xdr:cNvPr id="0" name=""/>
        <xdr:cNvSpPr txBox="1"/>
      </xdr:nvSpPr>
      <xdr:spPr bwMode="auto">
        <a:xfrm>
          <a:off x="361950" y="2324100"/>
          <a:ext cx="1323974" cy="36290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11</xdr:row>
      <xdr:rowOff>38100</xdr:rowOff>
    </xdr:from>
    <xdr:to>
      <xdr:col>1</xdr:col>
      <xdr:colOff>390525</xdr:colOff>
      <xdr:row>27</xdr:row>
      <xdr:rowOff>47625</xdr:rowOff>
    </xdr:to>
    <xdr:sp>
      <xdr:nvSpPr>
        <xdr:cNvPr id="0" name=""/>
        <xdr:cNvSpPr txBox="1"/>
      </xdr:nvSpPr>
      <xdr:spPr bwMode="auto">
        <a:xfrm>
          <a:off x="361950" y="21336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10</xdr:row>
      <xdr:rowOff>38100</xdr:rowOff>
    </xdr:from>
    <xdr:to>
      <xdr:col>1</xdr:col>
      <xdr:colOff>390525</xdr:colOff>
      <xdr:row>26</xdr:row>
      <xdr:rowOff>47625</xdr:rowOff>
    </xdr:to>
    <xdr:sp>
      <xdr:nvSpPr>
        <xdr:cNvPr id="0" name=""/>
        <xdr:cNvSpPr txBox="1"/>
      </xdr:nvSpPr>
      <xdr:spPr bwMode="auto">
        <a:xfrm>
          <a:off x="361950" y="1943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9</xdr:row>
      <xdr:rowOff>38100</xdr:rowOff>
    </xdr:from>
    <xdr:to>
      <xdr:col>1</xdr:col>
      <xdr:colOff>390525</xdr:colOff>
      <xdr:row>25</xdr:row>
      <xdr:rowOff>47625</xdr:rowOff>
    </xdr:to>
    <xdr:sp>
      <xdr:nvSpPr>
        <xdr:cNvPr id="0" name=""/>
        <xdr:cNvSpPr txBox="1"/>
      </xdr:nvSpPr>
      <xdr:spPr bwMode="auto">
        <a:xfrm>
          <a:off x="361950" y="1752599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  <xdr:twoCellAnchor editAs="twoCell">
    <xdr:from>
      <xdr:col>0</xdr:col>
      <xdr:colOff>361950</xdr:colOff>
      <xdr:row>0</xdr:row>
      <xdr:rowOff>38100</xdr:rowOff>
    </xdr:from>
    <xdr:to>
      <xdr:col>1</xdr:col>
      <xdr:colOff>390525</xdr:colOff>
      <xdr:row>16</xdr:row>
      <xdr:rowOff>47625</xdr:rowOff>
    </xdr:to>
    <xdr:sp>
      <xdr:nvSpPr>
        <xdr:cNvPr id="0" name=""/>
        <xdr:cNvSpPr txBox="1"/>
      </xdr:nvSpPr>
      <xdr:spPr bwMode="auto">
        <a:xfrm>
          <a:off x="361950" y="38100"/>
          <a:ext cx="1323974" cy="3057525"/>
        </a:xfrm>
        <a:prstGeom prst="rect">
          <a:avLst/>
        </a:prstGeom>
        <a:solidFill>
          <a:srgbClr val="FFFFE1"/>
        </a:solidFill>
        <a:ln>
          <a:solidFill>
            <a:srgbClr val="000000"/>
          </a:solidFill>
        </a:ln>
      </xdr:spPr>
      <xdr:txBody>
        <a:bodyPr/>
        <a:p>
          <a:pPr>
            <a:defRPr/>
          </a:pPr>
          <a:endParaRPr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teur inconnu" id="{F4553B28-47F3-0BF5-1081-9B43A38751F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F4553B28-47F3-0BF5-1081-9B43A38751F0}" id="{00DA0082-008E-47F5-9D71-00DC005700B4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K1" personId="{F4553B28-47F3-0BF5-1081-9B43A38751F0}" id="{001D0026-0028-41E0-ADB6-006A005400ED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  <threadedComment ref="L1" personId="{F4553B28-47F3-0BF5-1081-9B43A38751F0}" id="{00A80029-00B3-483C-875A-0039008D001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N1" personId="{F4553B28-47F3-0BF5-1081-9B43A38751F0}" id="{007F0009-00DB-4CFA-BF3A-00D500530037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O1" personId="{F4553B28-47F3-0BF5-1081-9B43A38751F0}" id="{005A0009-005F-45B1-93A4-005000CB00CB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P1" personId="{F4553B28-47F3-0BF5-1081-9B43A38751F0}" id="{002500B0-0092-4618-A8DA-00BD006E002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R1" personId="{F4553B28-47F3-0BF5-1081-9B43A38751F0}" id="{00800048-00DB-4A8F-9590-00B60089000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J1" personId="{F4553B28-47F3-0BF5-1081-9B43A38751F0}" id="{003F0060-0036-4297-BF72-00D700BD000C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personId="{F4553B28-47F3-0BF5-1081-9B43A38751F0}" id="{00EB004B-00B1-4B56-879E-00410080003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Mettre l'ordre du Strickler
</text>
  </threadedComment>
  <threadedComment ref="A11" personId="{F4553B28-47F3-0BF5-1081-9B43A38751F0}" id="{003F009F-00F0-4A15-8727-0018009B0072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Layer dans une couche GPKG
</text>
  </threadedComment>
  <threadedComment ref="A12" personId="{F4553B28-47F3-0BF5-1081-9B43A38751F0}" id="{00AC00B7-00A9-46C1-9B91-000500AA0006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Travail particulier sur un champ
</text>
  </threadedComment>
  <threadedComment ref="A13" personId="{F4553B28-47F3-0BF5-1081-9B43A38751F0}" id="{00D60031-0029-466D-8357-00B5009E002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du champ initial
</text>
  </threadedComment>
  <threadedComment ref="A14" personId="{F4553B28-47F3-0BF5-1081-9B43A38751F0}" id="{00140070-00CD-45CD-8A69-0058003E0061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Valeur d'une partie du champ sans les caractères spéciaux, pas trouvé le moyen de l'importer dans GRASS autement!
</text>
  </threadedComment>
  <threadedComment ref="A15" personId="{F4553B28-47F3-0BF5-1081-9B43A38751F0}" id="{00F4001A-008A-43BD-86A5-002300A20033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Champ pour fournir la valeur du buffer ou valeur de buffer
</text>
  </threadedComment>
  <threadedComment ref="A9" personId="{F4553B28-47F3-0BF5-1081-9B43A38751F0}" id="{00B4009B-0065-4BB8-A466-00CE00B70075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Chemin de la couche ou identifiant
</text>
  </threadedComment>
  <threadedComment ref="A10" personId="{F4553B28-47F3-0BF5-1081-9B43A38751F0}" id="{00CA00A1-00FB-4062-82F2-001700BE00E8}" done="0">
    <tex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drawing" Target="../drawings/drawing2.xml"/><Relationship  Id="rId4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eoservices.ign.fr/r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pane xSplit="8" ySplit="1" topLeftCell="I2" activePane="bottomRight" state="frozen"/>
      <selection activeCell="N9" activeCellId="0" sqref="N9"/>
    </sheetView>
  </sheetViews>
  <sheetFormatPr baseColWidth="10" defaultColWidth="10.7109375" defaultRowHeight="14.25"/>
  <cols>
    <col customWidth="1" min="1" max="8" style="1" width="4.28515625"/>
    <col customWidth="1" min="9" max="9" style="2" width="35.140625"/>
    <col bestFit="1" customWidth="1" min="10" max="10" style="1" width="46"/>
    <col customWidth="1" min="11" max="11" style="1" width="43.7109375"/>
    <col customWidth="1" min="12" max="13" style="1" width="25.5703125"/>
    <col bestFit="1" customWidth="1" min="14" max="14" style="1" width="23.140625"/>
    <col customWidth="1" min="15" max="15" style="1" width="45.85546875"/>
    <col customWidth="1" min="16" max="16" style="1" width="35.140625"/>
    <col customWidth="1" min="17" max="17" style="2" width="3.5703125"/>
    <col customWidth="1" min="18" max="18" style="1" width="21"/>
    <col customWidth="1" min="19" max="19" style="2" width="5.7109375"/>
    <col customWidth="1" min="20" max="20" style="1" width="8"/>
    <col customWidth="1" min="21" max="21" style="1" width="9.42578125"/>
    <col customWidth="1" min="22" max="22" style="1" width="58.85546875"/>
    <col min="23" max="16384" style="1" width="10.7109375"/>
  </cols>
  <sheetData>
    <row r="1" ht="94.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3" t="s">
        <v>15</v>
      </c>
      <c r="Q1" s="7" t="s">
        <v>16</v>
      </c>
      <c r="R1" s="4" t="s">
        <v>17</v>
      </c>
      <c r="S1" s="7" t="s">
        <v>18</v>
      </c>
      <c r="T1" s="4" t="s">
        <v>19</v>
      </c>
      <c r="U1" s="4" t="s">
        <v>20</v>
      </c>
      <c r="V1" s="8" t="s">
        <v>21</v>
      </c>
    </row>
    <row r="2">
      <c r="A2" s="9"/>
      <c r="B2" s="9">
        <v>1</v>
      </c>
      <c r="C2" s="9">
        <v>25</v>
      </c>
      <c r="D2" s="9"/>
      <c r="E2" s="10"/>
      <c r="F2" s="10"/>
      <c r="G2" s="10"/>
      <c r="H2" s="10"/>
      <c r="I2" s="11" t="s">
        <v>22</v>
      </c>
      <c r="J2" s="12" t="s">
        <v>23</v>
      </c>
      <c r="K2" s="9"/>
      <c r="L2" s="9" t="s">
        <v>24</v>
      </c>
      <c r="M2" s="9"/>
      <c r="N2" s="13" t="s">
        <v>25</v>
      </c>
      <c r="O2" s="14" t="s">
        <v>26</v>
      </c>
      <c r="P2" s="13" t="s">
        <v>27</v>
      </c>
      <c r="Q2" s="15"/>
      <c r="R2" s="9"/>
      <c r="S2" s="15"/>
      <c r="T2" s="9" t="s">
        <v>28</v>
      </c>
      <c r="U2" s="9" t="s">
        <v>29</v>
      </c>
      <c r="V2" s="9"/>
    </row>
    <row r="3">
      <c r="A3" s="9"/>
      <c r="B3" s="9">
        <v>1</v>
      </c>
      <c r="C3" s="9">
        <v>20</v>
      </c>
      <c r="D3" s="9"/>
      <c r="E3" s="10"/>
      <c r="F3" s="10"/>
      <c r="G3" s="10"/>
      <c r="H3" s="10"/>
      <c r="I3" s="11" t="s">
        <v>22</v>
      </c>
      <c r="J3" s="12" t="s">
        <v>23</v>
      </c>
      <c r="K3" s="9"/>
      <c r="L3" s="9" t="s">
        <v>24</v>
      </c>
      <c r="M3" s="9"/>
      <c r="N3" s="13" t="s">
        <v>25</v>
      </c>
      <c r="O3" s="14" t="s">
        <v>30</v>
      </c>
      <c r="P3" s="13" t="s">
        <v>31</v>
      </c>
      <c r="Q3" s="15"/>
      <c r="R3" s="9"/>
      <c r="S3" s="15"/>
      <c r="T3" s="9" t="s">
        <v>28</v>
      </c>
      <c r="U3" s="9" t="s">
        <v>29</v>
      </c>
      <c r="V3" s="9"/>
    </row>
    <row r="4">
      <c r="A4" s="9"/>
      <c r="B4" s="9"/>
      <c r="C4" s="9"/>
      <c r="D4" s="9"/>
      <c r="E4" s="16"/>
      <c r="F4" s="16"/>
      <c r="G4" s="16"/>
      <c r="H4" s="16"/>
      <c r="I4" s="11"/>
      <c r="J4" s="12"/>
      <c r="K4" s="9"/>
      <c r="L4" s="9"/>
      <c r="M4" s="9"/>
      <c r="N4" s="9"/>
      <c r="O4" s="12"/>
      <c r="P4" s="9"/>
      <c r="Q4" s="15"/>
      <c r="R4" s="9"/>
      <c r="S4" s="15"/>
      <c r="T4" s="9"/>
      <c r="U4" s="9"/>
      <c r="V4" s="9"/>
    </row>
    <row r="5">
      <c r="A5" s="9"/>
      <c r="B5" s="9"/>
      <c r="C5" s="9"/>
      <c r="D5" s="9"/>
      <c r="E5" s="16"/>
      <c r="F5" s="16"/>
      <c r="G5" s="16"/>
      <c r="H5" s="16"/>
      <c r="I5" s="11"/>
      <c r="J5" s="12"/>
      <c r="K5" s="9"/>
      <c r="L5" s="9"/>
      <c r="M5" s="9"/>
      <c r="N5" s="9"/>
      <c r="O5" s="9"/>
      <c r="P5" s="9"/>
      <c r="Q5" s="15"/>
      <c r="R5" s="9"/>
      <c r="S5" s="15"/>
      <c r="T5" s="9"/>
      <c r="U5" s="9"/>
      <c r="V5" s="9"/>
    </row>
    <row r="6">
      <c r="A6" s="9"/>
      <c r="B6" s="9"/>
      <c r="C6" s="9"/>
      <c r="D6" s="9"/>
      <c r="E6" s="10"/>
      <c r="F6" s="10"/>
      <c r="G6" s="10"/>
      <c r="H6" s="10"/>
      <c r="I6" s="11"/>
      <c r="J6" s="11"/>
      <c r="K6" s="9"/>
      <c r="L6" s="9"/>
      <c r="M6" s="9"/>
      <c r="N6" s="9"/>
      <c r="O6" s="12"/>
      <c r="P6" s="9"/>
      <c r="Q6" s="15"/>
      <c r="R6" s="9"/>
      <c r="S6" s="9"/>
      <c r="T6" s="9"/>
      <c r="U6" s="9"/>
      <c r="V6" s="9"/>
    </row>
    <row r="7">
      <c r="A7" s="17"/>
      <c r="B7" s="17"/>
      <c r="C7" s="17"/>
      <c r="D7" s="9"/>
      <c r="E7" s="16"/>
      <c r="F7" s="16"/>
      <c r="G7" s="16"/>
      <c r="H7" s="16"/>
      <c r="I7" s="18"/>
      <c r="J7" s="19"/>
      <c r="K7" s="17"/>
      <c r="L7" s="17"/>
      <c r="M7" s="17"/>
      <c r="N7" s="17"/>
      <c r="O7" s="19"/>
      <c r="P7" s="17"/>
      <c r="Q7" s="20"/>
      <c r="R7" s="17"/>
      <c r="S7" s="20"/>
      <c r="T7" s="17"/>
      <c r="U7" s="17"/>
      <c r="V7" s="17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>
      <c r="A8" s="9"/>
      <c r="B8" s="9"/>
      <c r="C8" s="9"/>
      <c r="D8" s="9"/>
      <c r="E8" s="16"/>
      <c r="F8" s="16"/>
      <c r="G8" s="16"/>
      <c r="H8" s="16"/>
      <c r="I8" s="11"/>
      <c r="J8" s="12"/>
      <c r="K8" s="9"/>
      <c r="L8" s="9"/>
      <c r="M8" s="9"/>
      <c r="N8" s="9"/>
      <c r="O8" s="12"/>
      <c r="P8" s="9"/>
      <c r="Q8" s="15"/>
      <c r="R8" s="9"/>
      <c r="S8" s="15"/>
      <c r="T8" s="9"/>
      <c r="U8" s="9"/>
      <c r="V8" s="9"/>
    </row>
    <row r="9">
      <c r="A9" s="9"/>
      <c r="B9" s="9"/>
      <c r="C9" s="9"/>
      <c r="D9" s="9"/>
      <c r="E9" s="16"/>
      <c r="F9" s="16"/>
      <c r="G9" s="16"/>
      <c r="H9" s="16"/>
      <c r="I9" s="11"/>
      <c r="J9" s="12"/>
      <c r="K9" s="9"/>
      <c r="L9" s="9"/>
      <c r="M9" s="9"/>
      <c r="N9" s="9"/>
      <c r="O9" s="12"/>
      <c r="P9" s="9"/>
      <c r="Q9" s="15"/>
      <c r="R9" s="9"/>
      <c r="S9" s="15"/>
      <c r="T9" s="9"/>
      <c r="U9" s="9"/>
      <c r="V9" s="9"/>
    </row>
    <row r="10">
      <c r="A10" s="9"/>
      <c r="B10" s="9"/>
      <c r="C10" s="9"/>
      <c r="D10" s="9"/>
      <c r="E10" s="16"/>
      <c r="F10" s="16"/>
      <c r="G10" s="16"/>
      <c r="H10" s="16"/>
      <c r="I10" s="11"/>
      <c r="J10" s="12"/>
      <c r="K10" s="9"/>
      <c r="L10" s="9"/>
      <c r="M10" s="9"/>
      <c r="N10" s="9"/>
      <c r="O10" s="12"/>
      <c r="P10" s="9"/>
      <c r="Q10" s="15"/>
      <c r="R10" s="9"/>
      <c r="S10" s="15"/>
      <c r="T10" s="9"/>
      <c r="U10" s="9"/>
      <c r="V10" s="9"/>
    </row>
    <row r="11">
      <c r="A11" s="9"/>
      <c r="B11" s="9"/>
      <c r="C11" s="9"/>
      <c r="D11" s="9"/>
      <c r="E11" s="16"/>
      <c r="F11" s="16"/>
      <c r="G11" s="16"/>
      <c r="H11" s="16"/>
      <c r="I11" s="11"/>
      <c r="J11" s="12"/>
      <c r="K11" s="9"/>
      <c r="L11" s="9"/>
      <c r="M11" s="9"/>
      <c r="N11" s="9"/>
      <c r="O11" s="12"/>
      <c r="P11" s="9"/>
      <c r="Q11" s="15"/>
      <c r="R11" s="9"/>
      <c r="S11" s="15"/>
      <c r="T11" s="9"/>
      <c r="U11" s="9"/>
      <c r="V11" s="9"/>
    </row>
    <row r="12">
      <c r="A12" s="9"/>
      <c r="B12" s="9"/>
      <c r="C12" s="9"/>
      <c r="D12" s="9"/>
      <c r="E12" s="16"/>
      <c r="F12" s="16"/>
      <c r="G12" s="16"/>
      <c r="H12" s="16"/>
      <c r="I12" s="11"/>
      <c r="J12" s="12"/>
      <c r="K12" s="9"/>
      <c r="L12" s="9"/>
      <c r="M12" s="9"/>
      <c r="N12" s="9"/>
      <c r="O12" s="12"/>
      <c r="P12" s="12"/>
      <c r="Q12" s="15"/>
      <c r="R12" s="9"/>
      <c r="S12" s="15"/>
      <c r="T12" s="9"/>
      <c r="U12" s="9"/>
      <c r="V12" s="9"/>
    </row>
    <row r="13">
      <c r="A13" s="9"/>
      <c r="B13" s="9"/>
      <c r="C13" s="9"/>
      <c r="D13" s="9"/>
      <c r="E13" s="16"/>
      <c r="F13" s="16"/>
      <c r="G13" s="16"/>
      <c r="H13" s="16"/>
      <c r="I13" s="11"/>
      <c r="J13" s="12"/>
      <c r="K13" s="9"/>
      <c r="L13" s="9"/>
      <c r="M13" s="9"/>
      <c r="N13" s="9"/>
      <c r="O13" s="12"/>
      <c r="P13" s="12"/>
      <c r="Q13" s="15"/>
      <c r="R13" s="9"/>
      <c r="S13" s="15"/>
      <c r="T13" s="9"/>
      <c r="U13" s="9"/>
      <c r="V13" s="9"/>
    </row>
    <row r="14">
      <c r="A14" s="9"/>
      <c r="B14" s="9"/>
      <c r="C14" s="9"/>
      <c r="D14" s="9"/>
      <c r="E14" s="16"/>
      <c r="F14" s="16"/>
      <c r="G14" s="16"/>
      <c r="H14" s="16"/>
      <c r="I14" s="11"/>
      <c r="J14" s="12"/>
      <c r="K14" s="9"/>
      <c r="L14" s="9"/>
      <c r="M14" s="9"/>
      <c r="N14" s="9"/>
      <c r="O14" s="12"/>
      <c r="P14" s="12"/>
      <c r="Q14" s="15"/>
      <c r="R14" s="9"/>
      <c r="S14" s="15"/>
      <c r="T14" s="9"/>
      <c r="U14" s="9"/>
      <c r="V14" s="9"/>
    </row>
    <row r="15">
      <c r="A15" s="9"/>
      <c r="B15" s="9"/>
      <c r="C15" s="9"/>
      <c r="D15" s="9"/>
      <c r="E15" s="16"/>
      <c r="F15" s="16"/>
      <c r="G15" s="16"/>
      <c r="H15" s="16"/>
      <c r="I15" s="11"/>
      <c r="J15" s="12"/>
      <c r="K15" s="15"/>
      <c r="L15" s="9"/>
      <c r="M15" s="9"/>
      <c r="N15" s="9"/>
      <c r="O15" s="12"/>
      <c r="P15" s="9"/>
      <c r="Q15" s="15"/>
      <c r="R15" s="9"/>
      <c r="S15" s="15"/>
      <c r="T15" s="9"/>
      <c r="U15" s="9"/>
      <c r="V15" s="9"/>
    </row>
    <row r="16">
      <c r="A16" s="9"/>
      <c r="B16" s="9"/>
      <c r="C16" s="9"/>
      <c r="D16" s="9"/>
      <c r="E16" s="16"/>
      <c r="F16" s="16"/>
      <c r="G16" s="16"/>
      <c r="H16" s="16"/>
      <c r="I16" s="11"/>
      <c r="J16" s="12"/>
      <c r="K16" s="9"/>
      <c r="L16" s="9"/>
      <c r="M16" s="9"/>
      <c r="N16" s="9"/>
      <c r="O16" s="12"/>
      <c r="P16" s="9"/>
      <c r="Q16" s="15"/>
      <c r="R16" s="9"/>
      <c r="S16" s="15"/>
      <c r="T16" s="9"/>
      <c r="U16" s="9"/>
      <c r="V16" s="9"/>
    </row>
    <row r="17" ht="22.5">
      <c r="A17" s="9"/>
      <c r="B17" s="9"/>
      <c r="C17" s="9"/>
      <c r="D17" s="9"/>
      <c r="E17" s="22"/>
      <c r="F17" s="22"/>
      <c r="G17" s="22"/>
      <c r="H17" s="22"/>
      <c r="I17" s="23"/>
      <c r="J17" s="24"/>
      <c r="K17" s="25"/>
      <c r="L17" s="9"/>
      <c r="M17" s="9"/>
      <c r="N17" s="9"/>
      <c r="O17" s="12"/>
      <c r="P17" s="9"/>
      <c r="Q17" s="15"/>
      <c r="R17" s="9"/>
      <c r="S17" s="15"/>
      <c r="T17" s="9"/>
      <c r="U17" s="9"/>
      <c r="V17" s="9"/>
    </row>
    <row r="18" ht="22.5">
      <c r="A18" s="9"/>
      <c r="B18" s="9"/>
      <c r="C18" s="9"/>
      <c r="D18" s="9"/>
      <c r="E18" s="22"/>
      <c r="F18" s="22"/>
      <c r="G18" s="22"/>
      <c r="H18" s="22"/>
      <c r="I18" s="23"/>
      <c r="J18" s="24"/>
      <c r="K18" s="25"/>
      <c r="L18" s="9"/>
      <c r="M18" s="9"/>
      <c r="N18" s="9"/>
      <c r="O18" s="12"/>
      <c r="P18" s="9"/>
      <c r="Q18" s="15"/>
      <c r="R18" s="9"/>
      <c r="S18" s="15"/>
      <c r="T18" s="9"/>
      <c r="U18" s="9"/>
      <c r="V18" s="9"/>
    </row>
    <row r="19" ht="22.5">
      <c r="A19" s="9"/>
      <c r="B19" s="9"/>
      <c r="C19" s="9"/>
      <c r="D19" s="9"/>
      <c r="E19" s="22"/>
      <c r="F19" s="22"/>
      <c r="G19" s="22"/>
      <c r="H19" s="22"/>
      <c r="I19" s="23"/>
      <c r="J19" s="24"/>
      <c r="K19" s="25"/>
      <c r="L19" s="9"/>
      <c r="M19" s="9"/>
      <c r="N19" s="9"/>
      <c r="O19" s="12"/>
      <c r="P19" s="9"/>
      <c r="Q19" s="15"/>
      <c r="R19" s="9"/>
      <c r="S19" s="15"/>
      <c r="T19" s="9"/>
      <c r="U19" s="9"/>
      <c r="V19" s="9"/>
    </row>
    <row r="20" ht="22.5">
      <c r="A20" s="9"/>
      <c r="B20" s="9"/>
      <c r="C20" s="9"/>
      <c r="D20" s="9"/>
      <c r="E20" s="22"/>
      <c r="F20" s="22"/>
      <c r="G20" s="22"/>
      <c r="H20" s="22"/>
      <c r="I20" s="23"/>
      <c r="J20" s="24"/>
      <c r="K20" s="25"/>
      <c r="L20" s="9"/>
      <c r="M20" s="9"/>
      <c r="N20" s="9"/>
      <c r="O20" s="12"/>
      <c r="P20" s="9"/>
      <c r="Q20" s="15"/>
      <c r="R20" s="9"/>
      <c r="S20" s="15"/>
      <c r="T20" s="9"/>
      <c r="U20" s="9"/>
      <c r="V20" s="9"/>
    </row>
    <row r="21" ht="22.5">
      <c r="A21" s="9"/>
      <c r="B21" s="9"/>
      <c r="C21" s="9"/>
      <c r="D21" s="9"/>
      <c r="E21" s="22"/>
      <c r="F21" s="22"/>
      <c r="G21" s="22"/>
      <c r="H21" s="22"/>
      <c r="I21" s="23"/>
      <c r="J21" s="24"/>
      <c r="K21" s="25"/>
      <c r="L21" s="9"/>
      <c r="M21" s="9"/>
      <c r="N21" s="9"/>
      <c r="O21" s="12"/>
      <c r="P21" s="9"/>
      <c r="Q21" s="15"/>
      <c r="R21" s="9"/>
      <c r="S21" s="15"/>
      <c r="T21" s="9"/>
      <c r="U21" s="9"/>
      <c r="V21" s="9"/>
    </row>
    <row r="22" ht="22.5">
      <c r="A22" s="9"/>
      <c r="B22" s="9"/>
      <c r="C22" s="9"/>
      <c r="D22" s="9"/>
      <c r="E22" s="22"/>
      <c r="F22" s="22"/>
      <c r="G22" s="22"/>
      <c r="H22" s="22"/>
      <c r="I22" s="23"/>
      <c r="J22" s="24"/>
      <c r="K22" s="25"/>
      <c r="L22" s="9"/>
      <c r="M22" s="9"/>
      <c r="N22" s="9"/>
      <c r="O22" s="12"/>
      <c r="P22" s="9"/>
      <c r="Q22" s="15"/>
      <c r="R22" s="9"/>
      <c r="S22" s="15"/>
      <c r="T22" s="9"/>
      <c r="U22" s="9"/>
      <c r="V22" s="9"/>
    </row>
    <row r="23" ht="22.5">
      <c r="A23" s="9"/>
      <c r="B23" s="9"/>
      <c r="C23" s="9"/>
      <c r="D23" s="9"/>
      <c r="E23" s="22"/>
      <c r="F23" s="22"/>
      <c r="G23" s="22"/>
      <c r="H23" s="22"/>
      <c r="I23" s="23"/>
      <c r="J23" s="24"/>
      <c r="K23" s="25"/>
      <c r="L23" s="9"/>
      <c r="M23" s="9"/>
      <c r="N23" s="9"/>
      <c r="O23" s="12"/>
      <c r="P23" s="9"/>
      <c r="Q23" s="15"/>
      <c r="R23" s="9"/>
      <c r="S23" s="15"/>
      <c r="T23" s="9"/>
      <c r="U23" s="9"/>
      <c r="V23" s="9"/>
    </row>
    <row r="24" ht="22.5">
      <c r="A24" s="9"/>
      <c r="B24" s="9"/>
      <c r="C24" s="9"/>
      <c r="D24" s="9"/>
      <c r="E24" s="22"/>
      <c r="F24" s="22"/>
      <c r="G24" s="22"/>
      <c r="H24" s="22"/>
      <c r="I24" s="23"/>
      <c r="J24" s="24"/>
      <c r="K24" s="25"/>
      <c r="L24" s="9"/>
      <c r="M24" s="9"/>
      <c r="N24" s="9"/>
      <c r="O24" s="12"/>
      <c r="P24" s="9"/>
      <c r="Q24" s="15"/>
      <c r="R24" s="9"/>
      <c r="S24" s="15"/>
      <c r="T24" s="9"/>
      <c r="U24" s="9"/>
      <c r="V24" s="9"/>
    </row>
    <row r="25" ht="22.5">
      <c r="A25" s="9"/>
      <c r="B25" s="9"/>
      <c r="C25" s="9"/>
      <c r="D25" s="9"/>
      <c r="E25" s="22"/>
      <c r="F25" s="22"/>
      <c r="G25" s="22"/>
      <c r="H25" s="22"/>
      <c r="I25" s="23"/>
      <c r="J25" s="24"/>
      <c r="K25" s="25"/>
      <c r="L25" s="9"/>
      <c r="M25" s="9"/>
      <c r="N25" s="9"/>
      <c r="O25" s="12"/>
      <c r="P25" s="9"/>
      <c r="Q25" s="15"/>
      <c r="R25" s="9"/>
      <c r="S25" s="15"/>
      <c r="T25" s="9"/>
      <c r="U25" s="9"/>
      <c r="V25" s="9"/>
    </row>
    <row r="26" ht="22.5">
      <c r="A26" s="9"/>
      <c r="B26" s="9"/>
      <c r="C26" s="9"/>
      <c r="D26" s="9"/>
      <c r="E26" s="26"/>
      <c r="F26" s="26"/>
      <c r="G26" s="26"/>
      <c r="H26" s="26"/>
      <c r="I26" s="23"/>
      <c r="J26" s="24"/>
      <c r="K26" s="25"/>
      <c r="L26" s="9"/>
      <c r="M26" s="9"/>
      <c r="N26" s="9"/>
      <c r="O26" s="12"/>
      <c r="P26" s="9"/>
      <c r="Q26" s="15"/>
      <c r="R26" s="9"/>
      <c r="S26" s="15"/>
      <c r="T26" s="9"/>
      <c r="U26" s="9"/>
      <c r="V26" s="9"/>
    </row>
    <row r="27" ht="22.5">
      <c r="A27" s="9"/>
      <c r="B27" s="9"/>
      <c r="C27" s="9"/>
      <c r="D27" s="9"/>
      <c r="E27" s="22"/>
      <c r="F27" s="22"/>
      <c r="G27" s="22"/>
      <c r="H27" s="22"/>
      <c r="I27" s="23"/>
      <c r="J27" s="24"/>
      <c r="K27" s="25"/>
      <c r="L27" s="9"/>
      <c r="M27" s="9"/>
      <c r="N27" s="9"/>
      <c r="O27" s="12"/>
      <c r="P27" s="9"/>
      <c r="Q27" s="15"/>
      <c r="R27" s="9"/>
      <c r="S27" s="15"/>
      <c r="T27" s="9"/>
      <c r="U27" s="9"/>
      <c r="V27" s="9"/>
    </row>
    <row r="28" ht="22.5">
      <c r="A28" s="9"/>
      <c r="B28" s="9"/>
      <c r="C28" s="9"/>
      <c r="D28" s="9"/>
      <c r="E28" s="22"/>
      <c r="F28" s="22"/>
      <c r="G28" s="22"/>
      <c r="H28" s="22"/>
      <c r="I28" s="23"/>
      <c r="J28" s="24"/>
      <c r="K28" s="25"/>
      <c r="L28" s="9"/>
      <c r="M28" s="9"/>
      <c r="N28" s="9"/>
      <c r="O28" s="12"/>
      <c r="P28" s="9"/>
      <c r="Q28" s="15"/>
      <c r="R28" s="9"/>
      <c r="S28" s="15"/>
      <c r="T28" s="9"/>
      <c r="U28" s="9"/>
      <c r="V28" s="9"/>
    </row>
    <row r="29" ht="22.5">
      <c r="A29" s="9"/>
      <c r="B29" s="9"/>
      <c r="C29" s="9"/>
      <c r="D29" s="9"/>
      <c r="E29" s="22"/>
      <c r="F29" s="22"/>
      <c r="G29" s="22"/>
      <c r="H29" s="22"/>
      <c r="I29" s="23"/>
      <c r="J29" s="24"/>
      <c r="K29" s="25"/>
      <c r="L29" s="9"/>
      <c r="M29" s="9"/>
      <c r="N29" s="9"/>
      <c r="O29" s="12"/>
      <c r="P29" s="9"/>
      <c r="Q29" s="15"/>
      <c r="R29" s="9"/>
      <c r="S29" s="15"/>
      <c r="T29" s="9"/>
      <c r="U29" s="9"/>
      <c r="V29" s="9"/>
    </row>
    <row r="30" ht="22.5">
      <c r="A30" s="9"/>
      <c r="B30" s="9"/>
      <c r="C30" s="9"/>
      <c r="D30" s="9"/>
      <c r="E30" s="22"/>
      <c r="F30" s="22"/>
      <c r="G30" s="22"/>
      <c r="H30" s="22"/>
      <c r="I30" s="23"/>
      <c r="J30" s="24"/>
      <c r="K30" s="25"/>
      <c r="L30" s="9"/>
      <c r="M30" s="9"/>
      <c r="N30" s="9"/>
      <c r="O30" s="12"/>
      <c r="P30" s="9"/>
      <c r="Q30" s="15"/>
      <c r="R30" s="9"/>
      <c r="S30" s="15"/>
      <c r="T30" s="9"/>
      <c r="U30" s="9"/>
      <c r="V30" s="9"/>
    </row>
    <row r="31" ht="22.5">
      <c r="A31" s="9"/>
      <c r="B31" s="9"/>
      <c r="C31" s="9"/>
      <c r="D31" s="9"/>
      <c r="E31" s="27"/>
      <c r="F31" s="27"/>
      <c r="G31" s="27"/>
      <c r="H31" s="27"/>
      <c r="I31" s="23"/>
      <c r="J31" s="24"/>
      <c r="K31" s="25"/>
      <c r="L31" s="9"/>
      <c r="M31" s="9"/>
      <c r="N31" s="9"/>
      <c r="O31" s="12"/>
      <c r="P31" s="9"/>
      <c r="Q31" s="15"/>
      <c r="R31" s="9"/>
      <c r="S31" s="15"/>
      <c r="T31" s="9"/>
      <c r="U31" s="9"/>
      <c r="V31" s="9"/>
    </row>
    <row r="32" ht="22.5">
      <c r="A32" s="9"/>
      <c r="B32" s="9"/>
      <c r="C32" s="9"/>
      <c r="D32" s="9"/>
      <c r="E32" s="22"/>
      <c r="F32" s="22"/>
      <c r="G32" s="22"/>
      <c r="H32" s="22"/>
      <c r="I32" s="23"/>
      <c r="J32" s="24"/>
      <c r="K32" s="25"/>
      <c r="L32" s="9"/>
      <c r="M32" s="9"/>
      <c r="N32" s="9"/>
      <c r="O32" s="12"/>
      <c r="P32" s="9"/>
      <c r="Q32" s="15"/>
      <c r="R32" s="9"/>
      <c r="S32" s="15"/>
      <c r="T32" s="9"/>
      <c r="U32" s="9"/>
      <c r="V32" s="9"/>
    </row>
    <row r="33" ht="22.5">
      <c r="A33" s="9"/>
      <c r="B33" s="9"/>
      <c r="C33" s="9"/>
      <c r="D33" s="9"/>
      <c r="E33" s="28"/>
      <c r="F33" s="28"/>
      <c r="G33" s="28"/>
      <c r="H33" s="28"/>
      <c r="I33" s="23"/>
      <c r="J33" s="24"/>
      <c r="K33" s="25"/>
      <c r="L33" s="9"/>
      <c r="M33" s="9"/>
      <c r="N33" s="9"/>
      <c r="O33" s="12"/>
      <c r="P33" s="9"/>
      <c r="Q33" s="15"/>
      <c r="R33" s="9"/>
      <c r="S33" s="15"/>
      <c r="T33" s="9"/>
      <c r="U33" s="9"/>
      <c r="V33" s="9"/>
    </row>
    <row r="34" ht="22.5">
      <c r="A34" s="3"/>
      <c r="B34" s="4"/>
      <c r="C34" s="3"/>
      <c r="D34" s="9"/>
      <c r="E34" s="28"/>
      <c r="F34" s="28"/>
      <c r="G34" s="28"/>
      <c r="H34" s="28"/>
      <c r="I34" s="23"/>
      <c r="J34" s="24"/>
      <c r="K34" s="25"/>
      <c r="L34" s="3"/>
      <c r="M34" s="3"/>
      <c r="N34" s="9"/>
      <c r="O34" s="6"/>
      <c r="P34" s="9"/>
      <c r="Q34" s="7"/>
      <c r="R34" s="4"/>
      <c r="S34" s="7"/>
      <c r="T34" s="9"/>
      <c r="U34" s="9"/>
      <c r="V34" s="8"/>
    </row>
    <row r="35" ht="22.5">
      <c r="A35" s="3"/>
      <c r="B35" s="4"/>
      <c r="C35" s="3"/>
      <c r="D35" s="9"/>
      <c r="E35" s="22"/>
      <c r="F35" s="22"/>
      <c r="G35" s="22"/>
      <c r="H35" s="22"/>
      <c r="I35" s="23"/>
      <c r="J35" s="24"/>
      <c r="K35" s="25"/>
      <c r="L35" s="3"/>
      <c r="M35" s="3"/>
      <c r="N35" s="9"/>
      <c r="O35" s="6"/>
      <c r="P35" s="9"/>
      <c r="Q35" s="7"/>
      <c r="R35" s="4"/>
      <c r="S35" s="7"/>
      <c r="T35" s="9"/>
      <c r="U35" s="9"/>
      <c r="V35" s="8"/>
    </row>
    <row r="36" ht="22.5">
      <c r="A36" s="3"/>
      <c r="B36" s="4"/>
      <c r="C36" s="3"/>
      <c r="D36" s="9"/>
      <c r="E36" s="28"/>
      <c r="F36" s="28"/>
      <c r="G36" s="28"/>
      <c r="H36" s="28"/>
      <c r="I36" s="23"/>
      <c r="J36" s="24"/>
      <c r="K36" s="25"/>
      <c r="L36" s="3"/>
      <c r="M36" s="3"/>
      <c r="N36" s="9"/>
      <c r="O36" s="6"/>
      <c r="P36" s="9"/>
      <c r="Q36" s="7"/>
      <c r="R36" s="4"/>
      <c r="S36" s="7"/>
      <c r="T36" s="9"/>
      <c r="U36" s="9"/>
      <c r="V36" s="8"/>
    </row>
    <row r="37" ht="22.5">
      <c r="A37" s="3"/>
      <c r="B37" s="4"/>
      <c r="C37" s="3"/>
      <c r="D37" s="9"/>
      <c r="E37" s="22"/>
      <c r="F37" s="22"/>
      <c r="G37" s="22"/>
      <c r="H37" s="22"/>
      <c r="I37" s="23"/>
      <c r="J37" s="24"/>
      <c r="K37" s="25"/>
      <c r="L37" s="3"/>
      <c r="M37" s="3"/>
      <c r="N37" s="9"/>
      <c r="O37" s="6"/>
      <c r="P37" s="9"/>
      <c r="Q37" s="7"/>
      <c r="R37" s="4"/>
      <c r="S37" s="7"/>
      <c r="T37" s="9"/>
      <c r="U37" s="9"/>
      <c r="V37" s="8"/>
    </row>
    <row r="38" ht="22.5">
      <c r="A38" s="3"/>
      <c r="B38" s="4"/>
      <c r="C38" s="3"/>
      <c r="D38" s="9"/>
      <c r="E38" s="22"/>
      <c r="F38" s="22"/>
      <c r="G38" s="22"/>
      <c r="H38" s="22"/>
      <c r="I38" s="23"/>
      <c r="J38" s="24"/>
      <c r="K38" s="25"/>
      <c r="L38" s="3"/>
      <c r="M38" s="3"/>
      <c r="N38" s="9"/>
      <c r="O38" s="6"/>
      <c r="P38" s="9"/>
      <c r="Q38" s="7"/>
      <c r="R38" s="4"/>
      <c r="S38" s="7"/>
      <c r="T38" s="9"/>
      <c r="U38" s="9"/>
      <c r="V38" s="8"/>
    </row>
    <row r="39" ht="22.5">
      <c r="A39" s="3"/>
      <c r="B39" s="4"/>
      <c r="C39" s="3"/>
      <c r="D39" s="9"/>
      <c r="E39" s="22"/>
      <c r="F39" s="22"/>
      <c r="G39" s="22"/>
      <c r="H39" s="22"/>
      <c r="I39" s="23"/>
      <c r="J39" s="24"/>
      <c r="K39" s="25"/>
      <c r="L39" s="3"/>
      <c r="M39" s="3"/>
      <c r="N39" s="9"/>
      <c r="O39" s="6"/>
      <c r="P39" s="9"/>
      <c r="Q39" s="7"/>
      <c r="R39" s="4"/>
      <c r="S39" s="7"/>
      <c r="T39" s="9"/>
      <c r="U39" s="9"/>
      <c r="V39" s="8"/>
    </row>
    <row r="40" ht="22.5">
      <c r="A40" s="3"/>
      <c r="B40" s="4"/>
      <c r="C40" s="3"/>
      <c r="D40" s="9"/>
      <c r="E40" s="22"/>
      <c r="F40" s="22"/>
      <c r="G40" s="22"/>
      <c r="H40" s="22"/>
      <c r="I40" s="23"/>
      <c r="J40" s="24"/>
      <c r="K40" s="25"/>
      <c r="L40" s="3"/>
      <c r="M40" s="3"/>
      <c r="N40" s="9"/>
      <c r="O40" s="6"/>
      <c r="P40" s="9"/>
      <c r="Q40" s="7"/>
      <c r="R40" s="4"/>
      <c r="S40" s="7"/>
      <c r="T40" s="9"/>
      <c r="U40" s="9"/>
      <c r="V40" s="8"/>
    </row>
    <row r="41">
      <c r="A41" s="9"/>
      <c r="B41" s="9"/>
      <c r="C41" s="9"/>
      <c r="D41" s="9"/>
      <c r="E41" s="16"/>
      <c r="F41" s="16"/>
      <c r="G41" s="16"/>
      <c r="H41" s="16"/>
      <c r="I41" s="11"/>
      <c r="J41" s="12"/>
      <c r="K41" s="9"/>
      <c r="L41" s="9"/>
      <c r="M41" s="9"/>
      <c r="N41" s="9"/>
      <c r="O41" s="12"/>
      <c r="P41" s="9"/>
      <c r="Q41" s="15"/>
      <c r="R41" s="9"/>
      <c r="S41" s="15"/>
      <c r="T41" s="9"/>
      <c r="U41" s="9"/>
      <c r="V41" s="9"/>
    </row>
    <row r="42">
      <c r="A42" s="9"/>
      <c r="B42" s="9"/>
      <c r="C42" s="9"/>
      <c r="D42" s="9"/>
      <c r="E42" s="16"/>
      <c r="F42" s="16"/>
      <c r="G42" s="16"/>
      <c r="H42" s="16"/>
      <c r="I42" s="11"/>
      <c r="J42" s="12"/>
      <c r="K42" s="9"/>
      <c r="L42" s="9"/>
      <c r="M42" s="9"/>
      <c r="N42" s="9"/>
      <c r="O42" s="12"/>
      <c r="P42" s="9"/>
      <c r="Q42" s="15"/>
      <c r="R42" s="9"/>
      <c r="S42" s="15"/>
      <c r="T42" s="9"/>
      <c r="U42" s="9"/>
      <c r="V42" s="9"/>
    </row>
    <row r="43">
      <c r="A43" s="9"/>
      <c r="B43" s="9"/>
      <c r="C43" s="9"/>
      <c r="D43" s="9"/>
      <c r="E43" s="16"/>
      <c r="F43" s="16"/>
      <c r="G43" s="16"/>
      <c r="H43" s="16"/>
      <c r="I43" s="11"/>
      <c r="J43" s="12"/>
      <c r="K43" s="9"/>
      <c r="L43" s="9"/>
      <c r="M43" s="9"/>
      <c r="N43" s="9"/>
      <c r="O43" s="12"/>
      <c r="P43" s="9"/>
      <c r="Q43" s="15"/>
      <c r="R43" s="9"/>
      <c r="S43" s="15"/>
      <c r="T43" s="9"/>
      <c r="U43" s="9"/>
      <c r="V43" s="9"/>
    </row>
    <row r="44">
      <c r="A44" s="9"/>
      <c r="B44" s="9"/>
      <c r="C44" s="9"/>
      <c r="D44" s="9"/>
      <c r="E44" s="16"/>
      <c r="F44" s="16"/>
      <c r="G44" s="16"/>
      <c r="H44" s="16"/>
      <c r="I44" s="11"/>
      <c r="J44" s="12"/>
      <c r="K44" s="9"/>
      <c r="L44" s="9"/>
      <c r="M44" s="9"/>
      <c r="N44" s="9"/>
      <c r="O44" s="12"/>
      <c r="P44" s="9"/>
      <c r="Q44" s="15"/>
      <c r="R44" s="9"/>
      <c r="S44" s="15"/>
      <c r="T44" s="9"/>
      <c r="U44" s="9"/>
      <c r="V44" s="9"/>
    </row>
    <row r="45">
      <c r="A45" s="9"/>
      <c r="B45" s="9"/>
      <c r="C45" s="9"/>
      <c r="D45" s="9"/>
      <c r="E45" s="16"/>
      <c r="F45" s="16"/>
      <c r="G45" s="16"/>
      <c r="H45" s="16"/>
      <c r="I45" s="11"/>
      <c r="J45" s="12"/>
      <c r="K45" s="9"/>
      <c r="L45" s="9"/>
      <c r="M45" s="9"/>
      <c r="N45" s="9"/>
      <c r="O45" s="12"/>
      <c r="P45" s="9"/>
      <c r="Q45" s="15"/>
      <c r="R45" s="9"/>
      <c r="S45" s="15"/>
      <c r="T45" s="9"/>
      <c r="U45" s="9"/>
      <c r="V45" s="9"/>
    </row>
    <row r="46">
      <c r="A46" s="9"/>
      <c r="B46" s="9"/>
      <c r="C46" s="9"/>
      <c r="D46" s="9"/>
      <c r="E46" s="16"/>
      <c r="F46" s="16"/>
      <c r="G46" s="16"/>
      <c r="H46" s="16"/>
      <c r="I46" s="11"/>
      <c r="J46" s="12"/>
      <c r="K46" s="9"/>
      <c r="L46" s="9"/>
      <c r="M46" s="9"/>
      <c r="N46" s="9"/>
      <c r="O46" s="12"/>
      <c r="P46" s="9"/>
      <c r="Q46" s="15"/>
      <c r="R46" s="9"/>
      <c r="S46" s="15"/>
      <c r="T46" s="9"/>
      <c r="U46" s="9"/>
      <c r="V46" s="9"/>
    </row>
    <row r="47">
      <c r="A47" s="9"/>
      <c r="B47" s="9"/>
      <c r="C47" s="9"/>
      <c r="D47" s="9"/>
      <c r="E47" s="16"/>
      <c r="F47" s="16"/>
      <c r="G47" s="16"/>
      <c r="H47" s="16"/>
      <c r="I47" s="11"/>
      <c r="J47" s="12"/>
      <c r="K47" s="9"/>
      <c r="L47" s="9"/>
      <c r="M47" s="9"/>
      <c r="N47" s="9"/>
      <c r="O47" s="12"/>
      <c r="P47" s="9"/>
      <c r="Q47" s="15"/>
      <c r="R47" s="9"/>
      <c r="S47" s="15"/>
      <c r="T47" s="9"/>
      <c r="U47" s="9"/>
      <c r="V47" s="9"/>
    </row>
    <row r="48">
      <c r="A48" s="9"/>
      <c r="B48" s="9"/>
      <c r="C48" s="9"/>
      <c r="D48" s="9"/>
      <c r="E48" s="16"/>
      <c r="F48" s="16"/>
      <c r="G48" s="16"/>
      <c r="H48" s="16"/>
      <c r="I48" s="11"/>
      <c r="J48" s="12"/>
      <c r="K48" s="9"/>
      <c r="L48" s="9"/>
      <c r="M48" s="9"/>
      <c r="N48" s="9"/>
      <c r="O48" s="12"/>
      <c r="P48" s="9"/>
      <c r="Q48" s="15"/>
      <c r="R48" s="9"/>
      <c r="S48" s="15"/>
      <c r="T48" s="9"/>
      <c r="U48" s="9"/>
      <c r="V48" s="9"/>
    </row>
    <row r="49">
      <c r="A49" s="9"/>
      <c r="B49" s="9"/>
      <c r="C49" s="9"/>
      <c r="D49" s="9"/>
      <c r="E49" s="16"/>
      <c r="F49" s="16"/>
      <c r="G49" s="16"/>
      <c r="H49" s="16"/>
      <c r="I49" s="11"/>
      <c r="J49" s="12"/>
      <c r="K49" s="9"/>
      <c r="L49" s="9"/>
      <c r="M49" s="9"/>
      <c r="N49" s="9"/>
      <c r="O49" s="12"/>
      <c r="P49" s="9"/>
      <c r="Q49" s="15"/>
      <c r="R49" s="9"/>
      <c r="S49" s="15"/>
      <c r="T49" s="9"/>
      <c r="U49" s="9"/>
      <c r="V49" s="9"/>
    </row>
    <row r="50" ht="23.25">
      <c r="A50" s="9"/>
      <c r="B50" s="9"/>
      <c r="C50" s="9"/>
      <c r="D50" s="9"/>
      <c r="E50" s="16"/>
      <c r="F50" s="16"/>
      <c r="G50" s="16"/>
      <c r="H50" s="16"/>
      <c r="I50" s="11"/>
      <c r="J50" s="12"/>
      <c r="K50" s="9"/>
      <c r="L50" s="9"/>
      <c r="M50" s="9"/>
      <c r="N50" s="9"/>
      <c r="O50" s="12"/>
      <c r="P50" s="9"/>
      <c r="Q50" s="15"/>
      <c r="R50" s="9"/>
      <c r="S50" s="15"/>
      <c r="T50" s="9"/>
      <c r="U50" s="9"/>
      <c r="V50" s="9"/>
    </row>
    <row r="51" ht="16.5">
      <c r="A51" s="9"/>
      <c r="B51" s="9"/>
      <c r="C51" s="9"/>
      <c r="D51" s="9"/>
      <c r="E51" s="29"/>
      <c r="F51" s="29"/>
      <c r="G51" s="29"/>
      <c r="H51" s="29"/>
      <c r="I51" s="15"/>
      <c r="J51" s="25"/>
      <c r="K51" s="25"/>
      <c r="L51" s="9"/>
      <c r="M51" s="9"/>
      <c r="N51" s="9"/>
      <c r="O51" s="9"/>
      <c r="P51" s="9"/>
      <c r="Q51" s="15"/>
      <c r="R51" s="9"/>
      <c r="S51" s="15"/>
      <c r="T51" s="9"/>
      <c r="U51" s="9"/>
      <c r="V51" s="9"/>
    </row>
    <row r="52" ht="16.5">
      <c r="A52" s="9"/>
      <c r="B52" s="9"/>
      <c r="C52" s="9"/>
      <c r="D52" s="9"/>
      <c r="E52" s="29"/>
      <c r="F52" s="29"/>
      <c r="G52" s="29"/>
      <c r="H52" s="29"/>
      <c r="I52" s="15"/>
      <c r="J52" s="25"/>
      <c r="K52" s="25"/>
      <c r="L52" s="9"/>
      <c r="M52" s="9"/>
      <c r="N52" s="9"/>
      <c r="O52" s="9"/>
      <c r="P52" s="9"/>
      <c r="Q52" s="15"/>
      <c r="R52" s="9"/>
      <c r="S52" s="15"/>
      <c r="T52" s="9"/>
      <c r="U52" s="9"/>
      <c r="V52" s="9"/>
    </row>
    <row r="53" ht="16.5">
      <c r="A53" s="9"/>
      <c r="B53" s="9"/>
      <c r="C53" s="9"/>
      <c r="D53" s="9"/>
      <c r="E53" s="29"/>
      <c r="F53" s="29"/>
      <c r="G53" s="29"/>
      <c r="H53" s="29"/>
      <c r="I53" s="15"/>
      <c r="J53" s="25"/>
      <c r="K53" s="25"/>
      <c r="L53" s="9"/>
      <c r="M53" s="9"/>
      <c r="N53" s="9"/>
      <c r="O53" s="9"/>
      <c r="P53" s="9"/>
      <c r="Q53" s="15"/>
      <c r="R53" s="9"/>
      <c r="S53" s="15"/>
      <c r="T53" s="9"/>
      <c r="U53" s="9"/>
      <c r="V53" s="9"/>
    </row>
    <row r="54" ht="16.5">
      <c r="A54" s="9"/>
      <c r="B54" s="9"/>
      <c r="C54" s="9"/>
      <c r="D54" s="9"/>
      <c r="E54" s="29"/>
      <c r="F54" s="29"/>
      <c r="G54" s="29"/>
      <c r="H54" s="29"/>
      <c r="I54" s="15"/>
      <c r="J54" s="25"/>
      <c r="K54" s="25"/>
      <c r="L54" s="9"/>
      <c r="M54" s="9"/>
      <c r="N54" s="9"/>
      <c r="O54" s="9"/>
      <c r="P54" s="9"/>
      <c r="Q54" s="15"/>
      <c r="R54" s="9"/>
      <c r="S54" s="15"/>
      <c r="T54" s="9"/>
      <c r="U54" s="9"/>
      <c r="V54" s="9"/>
    </row>
    <row r="55" ht="16.5">
      <c r="A55" s="9"/>
      <c r="B55" s="9"/>
      <c r="C55" s="9"/>
      <c r="D55" s="9"/>
      <c r="E55" s="29"/>
      <c r="F55" s="29"/>
      <c r="G55" s="29"/>
      <c r="H55" s="29"/>
      <c r="I55" s="15"/>
      <c r="J55" s="25"/>
      <c r="K55" s="25"/>
      <c r="L55" s="9"/>
      <c r="M55" s="9"/>
      <c r="N55" s="9"/>
      <c r="O55" s="9"/>
      <c r="P55" s="9"/>
      <c r="Q55" s="15"/>
      <c r="R55" s="9"/>
      <c r="S55" s="15"/>
      <c r="T55" s="9"/>
      <c r="U55" s="9"/>
      <c r="V55" s="9"/>
    </row>
    <row r="56" ht="16.5">
      <c r="A56" s="9"/>
      <c r="B56" s="9"/>
      <c r="C56" s="9"/>
      <c r="D56" s="9"/>
      <c r="E56" s="29"/>
      <c r="F56" s="29"/>
      <c r="G56" s="29"/>
      <c r="H56" s="29"/>
      <c r="I56" s="15"/>
      <c r="J56" s="25"/>
      <c r="K56" s="25"/>
      <c r="L56" s="9"/>
      <c r="M56" s="9"/>
      <c r="N56" s="9"/>
      <c r="O56" s="9"/>
      <c r="P56" s="9"/>
      <c r="Q56" s="15"/>
      <c r="R56" s="9"/>
      <c r="S56" s="15"/>
      <c r="T56" s="9"/>
      <c r="U56" s="9"/>
      <c r="V56" s="9"/>
    </row>
    <row r="57" ht="16.5">
      <c r="A57" s="9"/>
      <c r="B57" s="9"/>
      <c r="C57" s="9"/>
      <c r="D57" s="9"/>
      <c r="E57" s="29"/>
      <c r="F57" s="29"/>
      <c r="G57" s="29"/>
      <c r="H57" s="29"/>
      <c r="I57" s="15"/>
      <c r="J57" s="25"/>
      <c r="K57" s="25"/>
      <c r="L57" s="9"/>
      <c r="M57" s="9"/>
      <c r="N57" s="9"/>
      <c r="O57" s="9"/>
      <c r="P57" s="9"/>
      <c r="Q57" s="15"/>
      <c r="R57" s="9"/>
      <c r="S57" s="15"/>
      <c r="T57" s="9"/>
      <c r="U57" s="9"/>
      <c r="V57" s="9"/>
    </row>
    <row r="58" ht="16.5">
      <c r="A58" s="9"/>
      <c r="B58" s="9"/>
      <c r="C58" s="9"/>
      <c r="D58" s="9"/>
      <c r="E58" s="29"/>
      <c r="F58" s="29"/>
      <c r="G58" s="29"/>
      <c r="H58" s="29"/>
      <c r="I58" s="15"/>
      <c r="J58" s="25"/>
      <c r="K58" s="25"/>
      <c r="L58" s="9"/>
      <c r="M58" s="9"/>
      <c r="N58" s="9"/>
      <c r="O58" s="9"/>
      <c r="P58" s="9"/>
      <c r="Q58" s="15"/>
      <c r="R58" s="9"/>
      <c r="S58" s="15"/>
      <c r="T58" s="9"/>
      <c r="U58" s="9"/>
      <c r="V58" s="9"/>
    </row>
    <row r="59" ht="16.5">
      <c r="A59" s="9"/>
      <c r="B59" s="9"/>
      <c r="C59" s="9"/>
      <c r="D59" s="9"/>
      <c r="E59" s="29"/>
      <c r="F59" s="29"/>
      <c r="G59" s="29"/>
      <c r="H59" s="29"/>
      <c r="I59" s="15"/>
      <c r="J59" s="25"/>
      <c r="K59" s="25"/>
      <c r="L59" s="9"/>
      <c r="M59" s="9"/>
      <c r="N59" s="9"/>
      <c r="O59" s="9"/>
      <c r="P59" s="9"/>
      <c r="Q59" s="15"/>
      <c r="R59" s="9"/>
      <c r="S59" s="15"/>
      <c r="T59" s="9"/>
      <c r="U59" s="9"/>
      <c r="V59" s="9"/>
    </row>
    <row r="60" ht="16.5">
      <c r="A60" s="9"/>
      <c r="B60" s="9"/>
      <c r="C60" s="9"/>
      <c r="D60" s="9"/>
      <c r="E60" s="29"/>
      <c r="F60" s="29"/>
      <c r="G60" s="29"/>
      <c r="H60" s="29"/>
      <c r="I60" s="15"/>
      <c r="J60" s="25"/>
      <c r="K60" s="25"/>
      <c r="L60" s="9"/>
      <c r="M60" s="9"/>
      <c r="N60" s="9"/>
      <c r="O60" s="9"/>
      <c r="P60" s="9"/>
      <c r="Q60" s="15"/>
      <c r="R60" s="9"/>
      <c r="S60" s="15"/>
      <c r="T60" s="9"/>
      <c r="U60" s="9"/>
      <c r="V60" s="9"/>
    </row>
    <row r="61" ht="16.5">
      <c r="A61" s="9"/>
      <c r="B61" s="9"/>
      <c r="C61" s="9"/>
      <c r="D61" s="9"/>
      <c r="E61" s="29"/>
      <c r="F61" s="29"/>
      <c r="G61" s="29"/>
      <c r="H61" s="29"/>
      <c r="I61" s="15"/>
      <c r="J61" s="25"/>
      <c r="K61" s="25"/>
      <c r="L61" s="9"/>
      <c r="M61" s="9"/>
      <c r="N61" s="9"/>
      <c r="O61" s="9"/>
      <c r="P61" s="9"/>
      <c r="Q61" s="15"/>
      <c r="R61" s="9"/>
      <c r="S61" s="15"/>
      <c r="T61" s="9"/>
      <c r="U61" s="9"/>
      <c r="V61" s="9"/>
    </row>
    <row r="62" ht="16.5">
      <c r="A62" s="9"/>
      <c r="B62" s="9"/>
      <c r="C62" s="9"/>
      <c r="D62" s="9"/>
      <c r="E62" s="29"/>
      <c r="F62" s="29"/>
      <c r="G62" s="29"/>
      <c r="H62" s="29"/>
      <c r="I62" s="15"/>
      <c r="J62" s="25"/>
      <c r="K62" s="25"/>
      <c r="L62" s="9"/>
      <c r="M62" s="9"/>
      <c r="N62" s="9"/>
      <c r="O62" s="9"/>
      <c r="P62" s="9"/>
      <c r="Q62" s="15"/>
      <c r="R62" s="9"/>
      <c r="S62" s="15"/>
      <c r="T62" s="9"/>
      <c r="U62" s="9"/>
      <c r="V62" s="9"/>
    </row>
    <row r="63" ht="16.5">
      <c r="A63" s="9"/>
      <c r="B63" s="9"/>
      <c r="C63" s="9"/>
      <c r="D63" s="9"/>
      <c r="E63" s="29"/>
      <c r="F63" s="29"/>
      <c r="G63" s="29"/>
      <c r="H63" s="29"/>
      <c r="I63" s="15"/>
      <c r="J63" s="25"/>
      <c r="K63" s="25"/>
      <c r="L63" s="9"/>
      <c r="M63" s="9"/>
      <c r="N63" s="9"/>
      <c r="O63" s="9"/>
      <c r="P63" s="9"/>
      <c r="Q63" s="15"/>
      <c r="R63" s="9"/>
      <c r="S63" s="15"/>
      <c r="T63" s="9"/>
      <c r="U63" s="9"/>
      <c r="V63" s="9"/>
    </row>
    <row r="64" ht="16.5">
      <c r="A64" s="9"/>
      <c r="B64" s="9"/>
      <c r="C64" s="9"/>
      <c r="D64" s="9"/>
      <c r="E64" s="29"/>
      <c r="F64" s="29"/>
      <c r="G64" s="29"/>
      <c r="H64" s="29"/>
      <c r="I64" s="15"/>
      <c r="J64" s="25"/>
      <c r="K64" s="25"/>
      <c r="L64" s="9"/>
      <c r="M64" s="9"/>
      <c r="N64" s="9"/>
      <c r="O64" s="9"/>
      <c r="P64" s="9"/>
      <c r="Q64" s="15"/>
      <c r="R64" s="9"/>
      <c r="S64" s="15"/>
      <c r="T64" s="9"/>
      <c r="U64" s="9"/>
      <c r="V64" s="9"/>
    </row>
    <row r="65" ht="15.75">
      <c r="A65" s="9"/>
      <c r="B65" s="9"/>
      <c r="C65" s="9"/>
      <c r="D65" s="9"/>
      <c r="E65" s="29"/>
      <c r="F65" s="29"/>
      <c r="G65" s="29"/>
      <c r="H65" s="29"/>
      <c r="I65" s="15"/>
      <c r="J65" s="25"/>
      <c r="K65" s="25"/>
      <c r="L65" s="9"/>
      <c r="M65" s="9"/>
      <c r="N65" s="9"/>
      <c r="O65" s="9"/>
      <c r="P65" s="9"/>
      <c r="Q65" s="15"/>
      <c r="R65" s="9"/>
      <c r="S65" s="15"/>
      <c r="T65" s="9"/>
      <c r="U65" s="9"/>
      <c r="V65" s="9"/>
    </row>
    <row r="66" ht="15.75">
      <c r="A66" s="9"/>
      <c r="B66" s="9"/>
      <c r="C66" s="9"/>
      <c r="D66" s="9"/>
      <c r="E66" s="29"/>
      <c r="F66" s="29"/>
      <c r="G66" s="29"/>
      <c r="H66" s="29"/>
      <c r="I66" s="15"/>
      <c r="J66" s="25"/>
      <c r="K66" s="25"/>
      <c r="L66" s="9"/>
      <c r="M66" s="9"/>
      <c r="N66" s="9"/>
      <c r="O66" s="9"/>
      <c r="P66" s="9"/>
      <c r="Q66" s="15"/>
      <c r="R66" s="9"/>
      <c r="S66" s="15"/>
      <c r="T66" s="9"/>
      <c r="U66" s="9"/>
      <c r="V66" s="9"/>
    </row>
    <row r="67" ht="15.75">
      <c r="A67" s="9"/>
      <c r="B67" s="9"/>
      <c r="C67" s="9"/>
      <c r="D67" s="9"/>
      <c r="E67" s="29"/>
      <c r="F67" s="29"/>
      <c r="G67" s="29"/>
      <c r="H67" s="29"/>
      <c r="I67" s="15"/>
      <c r="J67" s="25"/>
      <c r="K67" s="25"/>
      <c r="L67" s="9"/>
      <c r="M67" s="9"/>
      <c r="N67" s="9"/>
      <c r="O67" s="9"/>
      <c r="P67" s="9"/>
      <c r="Q67" s="15"/>
      <c r="R67" s="9"/>
      <c r="S67" s="15"/>
      <c r="T67" s="9"/>
      <c r="U67" s="9"/>
      <c r="V67" s="9"/>
    </row>
    <row r="68" ht="15.75">
      <c r="A68" s="9"/>
      <c r="B68" s="9"/>
      <c r="C68" s="9"/>
      <c r="D68" s="9"/>
      <c r="E68" s="29"/>
      <c r="F68" s="29"/>
      <c r="G68" s="29"/>
      <c r="H68" s="29"/>
      <c r="I68" s="15"/>
      <c r="J68" s="25"/>
      <c r="K68" s="25"/>
      <c r="L68" s="9"/>
      <c r="M68" s="9"/>
      <c r="N68" s="9"/>
      <c r="O68" s="9"/>
      <c r="P68" s="9"/>
      <c r="Q68" s="15"/>
      <c r="R68" s="9"/>
      <c r="S68" s="15"/>
      <c r="T68" s="9"/>
      <c r="U68" s="9"/>
      <c r="V68" s="9"/>
    </row>
    <row r="69" ht="15.75">
      <c r="A69" s="9"/>
      <c r="B69" s="9"/>
      <c r="C69" s="9"/>
      <c r="D69" s="9"/>
      <c r="E69" s="29"/>
      <c r="F69" s="29"/>
      <c r="G69" s="29"/>
      <c r="H69" s="29"/>
      <c r="I69" s="15"/>
      <c r="J69" s="25"/>
      <c r="K69" s="25"/>
      <c r="L69" s="9"/>
      <c r="M69" s="9"/>
      <c r="N69" s="9"/>
      <c r="O69" s="9"/>
      <c r="P69" s="9"/>
      <c r="Q69" s="15"/>
      <c r="R69" s="9"/>
      <c r="S69" s="15"/>
      <c r="T69" s="9"/>
      <c r="U69" s="9"/>
      <c r="V69" s="9"/>
    </row>
    <row r="70" ht="15.75">
      <c r="A70" s="9"/>
      <c r="B70" s="9"/>
      <c r="C70" s="9"/>
      <c r="D70" s="9"/>
      <c r="E70" s="29"/>
      <c r="F70" s="29"/>
      <c r="G70" s="29"/>
      <c r="H70" s="29"/>
      <c r="I70" s="15"/>
      <c r="J70" s="25"/>
      <c r="K70" s="25"/>
      <c r="L70" s="9"/>
      <c r="M70" s="9"/>
      <c r="N70" s="9"/>
      <c r="O70" s="9"/>
      <c r="P70" s="9"/>
      <c r="Q70" s="15"/>
      <c r="R70" s="9"/>
      <c r="S70" s="15"/>
      <c r="T70" s="9"/>
      <c r="U70" s="9"/>
      <c r="V70" s="9"/>
    </row>
    <row r="71" ht="15.75">
      <c r="A71" s="9"/>
      <c r="B71" s="9"/>
      <c r="C71" s="9"/>
      <c r="D71" s="9"/>
      <c r="E71" s="29"/>
      <c r="F71" s="29"/>
      <c r="G71" s="29"/>
      <c r="H71" s="29"/>
      <c r="I71" s="15"/>
      <c r="J71" s="25"/>
      <c r="K71" s="25"/>
      <c r="L71" s="9"/>
      <c r="M71" s="9"/>
      <c r="N71" s="9"/>
      <c r="O71" s="9"/>
      <c r="P71" s="9"/>
      <c r="Q71" s="15"/>
      <c r="R71" s="9"/>
      <c r="S71" s="15"/>
      <c r="T71" s="9"/>
      <c r="U71" s="9"/>
      <c r="V71" s="9"/>
    </row>
    <row r="72" ht="15.75">
      <c r="A72" s="9"/>
      <c r="B72" s="9"/>
      <c r="C72" s="9"/>
      <c r="D72" s="9"/>
      <c r="E72" s="29"/>
      <c r="F72" s="29"/>
      <c r="G72" s="29"/>
      <c r="H72" s="29"/>
      <c r="I72" s="15"/>
      <c r="J72" s="25"/>
      <c r="K72" s="25"/>
      <c r="L72" s="9"/>
      <c r="M72" s="9"/>
      <c r="N72" s="9"/>
      <c r="O72" s="9"/>
      <c r="P72" s="9"/>
      <c r="Q72" s="15"/>
      <c r="R72" s="9"/>
      <c r="S72" s="15"/>
      <c r="T72" s="9"/>
      <c r="U72" s="9"/>
      <c r="V72" s="9"/>
    </row>
    <row r="73" ht="15.75">
      <c r="A73" s="9"/>
      <c r="B73" s="9"/>
      <c r="C73" s="9"/>
      <c r="D73" s="9"/>
      <c r="E73" s="29"/>
      <c r="F73" s="29"/>
      <c r="G73" s="29"/>
      <c r="H73" s="29"/>
      <c r="I73" s="15"/>
      <c r="J73" s="25"/>
      <c r="K73" s="25"/>
      <c r="L73" s="9"/>
      <c r="M73" s="9"/>
      <c r="N73" s="9"/>
      <c r="O73" s="9"/>
      <c r="P73" s="9"/>
      <c r="Q73" s="15"/>
      <c r="R73" s="9"/>
      <c r="S73" s="15"/>
      <c r="T73" s="9"/>
      <c r="U73" s="9"/>
      <c r="V73" s="9"/>
    </row>
    <row r="74" ht="15.75">
      <c r="A74" s="9"/>
      <c r="B74" s="9"/>
      <c r="C74" s="9"/>
      <c r="D74" s="9"/>
      <c r="E74" s="29"/>
      <c r="F74" s="29"/>
      <c r="G74" s="29"/>
      <c r="H74" s="29"/>
      <c r="I74" s="15"/>
      <c r="J74" s="25"/>
      <c r="K74" s="25"/>
      <c r="L74" s="9"/>
      <c r="M74" s="9"/>
      <c r="N74" s="9"/>
      <c r="O74" s="9"/>
      <c r="P74" s="9"/>
      <c r="Q74" s="15"/>
      <c r="R74" s="9"/>
      <c r="S74" s="15"/>
      <c r="T74" s="9"/>
      <c r="U74" s="9"/>
      <c r="V74" s="9"/>
    </row>
    <row r="75" ht="15.75">
      <c r="A75" s="9"/>
      <c r="B75" s="9"/>
      <c r="C75" s="9"/>
      <c r="D75" s="9"/>
      <c r="E75" s="29"/>
      <c r="F75" s="29"/>
      <c r="G75" s="29"/>
      <c r="H75" s="29"/>
      <c r="I75" s="15"/>
      <c r="J75" s="25"/>
      <c r="K75" s="25"/>
      <c r="L75" s="9"/>
      <c r="M75" s="9"/>
      <c r="N75" s="9"/>
      <c r="O75" s="9"/>
      <c r="P75" s="9"/>
      <c r="Q75" s="15"/>
      <c r="R75" s="9"/>
      <c r="S75" s="15"/>
      <c r="T75" s="9"/>
      <c r="U75" s="9"/>
      <c r="V75" s="9"/>
    </row>
    <row r="76" ht="15.75">
      <c r="A76" s="9"/>
      <c r="B76" s="9"/>
      <c r="C76" s="9"/>
      <c r="D76" s="9"/>
      <c r="E76" s="29"/>
      <c r="F76" s="29"/>
      <c r="G76" s="29"/>
      <c r="H76" s="29"/>
      <c r="I76" s="15"/>
      <c r="J76" s="25"/>
      <c r="K76" s="25"/>
      <c r="L76" s="9"/>
      <c r="M76" s="9"/>
      <c r="N76" s="9"/>
      <c r="O76" s="9"/>
      <c r="P76" s="9"/>
      <c r="Q76" s="15"/>
      <c r="R76" s="9"/>
      <c r="S76" s="15"/>
      <c r="T76" s="9"/>
      <c r="U76" s="9"/>
      <c r="V76" s="9"/>
    </row>
    <row r="77" ht="15.75">
      <c r="A77" s="9"/>
      <c r="B77" s="9"/>
      <c r="C77" s="9"/>
      <c r="D77" s="9"/>
      <c r="E77" s="29"/>
      <c r="F77" s="29"/>
      <c r="G77" s="29"/>
      <c r="H77" s="29"/>
      <c r="I77" s="15"/>
      <c r="J77" s="25"/>
      <c r="K77" s="25"/>
      <c r="L77" s="9"/>
      <c r="M77" s="9"/>
      <c r="N77" s="9"/>
      <c r="O77" s="9"/>
      <c r="P77" s="9"/>
      <c r="Q77" s="15"/>
      <c r="R77" s="9"/>
      <c r="S77" s="15"/>
      <c r="T77" s="9"/>
      <c r="U77" s="9"/>
      <c r="V77" s="9"/>
    </row>
    <row r="78" ht="15.75">
      <c r="A78" s="9"/>
      <c r="B78" s="9"/>
      <c r="C78" s="9"/>
      <c r="D78" s="9"/>
      <c r="E78" s="29"/>
      <c r="F78" s="29"/>
      <c r="G78" s="29"/>
      <c r="H78" s="29"/>
      <c r="I78" s="15"/>
      <c r="J78" s="25"/>
      <c r="K78" s="25"/>
      <c r="L78" s="9"/>
      <c r="M78" s="9"/>
      <c r="N78" s="9"/>
      <c r="O78" s="9"/>
      <c r="P78" s="9"/>
      <c r="Q78" s="15"/>
      <c r="R78" s="9"/>
      <c r="S78" s="15"/>
      <c r="T78" s="9"/>
      <c r="U78" s="9"/>
      <c r="V78" s="9"/>
    </row>
    <row r="79" ht="15.75">
      <c r="A79" s="9"/>
      <c r="B79" s="9"/>
      <c r="C79" s="9"/>
      <c r="D79" s="9"/>
      <c r="E79" s="29"/>
      <c r="F79" s="29"/>
      <c r="G79" s="29"/>
      <c r="H79" s="29"/>
      <c r="I79" s="15"/>
      <c r="J79" s="25"/>
      <c r="K79" s="25"/>
      <c r="L79" s="9"/>
      <c r="M79" s="9"/>
      <c r="N79" s="9"/>
      <c r="O79" s="9"/>
      <c r="P79" s="9"/>
      <c r="Q79" s="15"/>
      <c r="R79" s="9"/>
      <c r="S79" s="15"/>
      <c r="T79" s="9"/>
      <c r="U79" s="9"/>
      <c r="V79" s="9"/>
    </row>
    <row r="80" ht="15.75">
      <c r="A80" s="9"/>
      <c r="B80" s="9"/>
      <c r="C80" s="9"/>
      <c r="D80" s="9"/>
      <c r="E80" s="29"/>
      <c r="F80" s="29"/>
      <c r="G80" s="29"/>
      <c r="H80" s="29"/>
      <c r="I80" s="15"/>
      <c r="J80" s="25"/>
      <c r="K80" s="25"/>
      <c r="L80" s="9"/>
      <c r="M80" s="9"/>
      <c r="N80" s="9"/>
      <c r="O80" s="9"/>
      <c r="P80" s="9"/>
      <c r="Q80" s="15"/>
      <c r="R80" s="9"/>
      <c r="S80" s="15"/>
      <c r="T80" s="9"/>
      <c r="U80" s="9"/>
      <c r="V80" s="9"/>
    </row>
    <row r="81" ht="15.75">
      <c r="A81" s="9"/>
      <c r="B81" s="9"/>
      <c r="C81" s="9"/>
      <c r="D81" s="9"/>
      <c r="E81" s="29"/>
      <c r="F81" s="29"/>
      <c r="G81" s="29"/>
      <c r="H81" s="29"/>
      <c r="I81" s="15"/>
      <c r="J81" s="25"/>
      <c r="K81" s="25"/>
      <c r="L81" s="9"/>
      <c r="M81" s="9"/>
      <c r="N81" s="9"/>
      <c r="O81" s="9"/>
      <c r="P81" s="9"/>
      <c r="Q81" s="15"/>
      <c r="R81" s="9"/>
      <c r="S81" s="15"/>
      <c r="T81" s="9"/>
      <c r="U81" s="9"/>
      <c r="V81" s="9"/>
    </row>
    <row r="82" ht="15.75">
      <c r="A82" s="9"/>
      <c r="B82" s="9"/>
      <c r="C82" s="9"/>
      <c r="D82" s="9"/>
      <c r="E82" s="29"/>
      <c r="F82" s="29"/>
      <c r="G82" s="29"/>
      <c r="H82" s="29"/>
      <c r="I82" s="15"/>
      <c r="J82" s="25"/>
      <c r="K82" s="25"/>
      <c r="L82" s="9"/>
      <c r="M82" s="9"/>
      <c r="N82" s="9"/>
      <c r="O82" s="9"/>
      <c r="P82" s="9"/>
      <c r="Q82" s="15"/>
      <c r="R82" s="9"/>
      <c r="S82" s="15"/>
      <c r="T82" s="9"/>
      <c r="U82" s="9"/>
      <c r="V82" s="9"/>
    </row>
    <row r="83" ht="15.75">
      <c r="A83" s="9"/>
      <c r="B83" s="9"/>
      <c r="C83" s="9"/>
      <c r="D83" s="9"/>
      <c r="E83" s="29"/>
      <c r="F83" s="29"/>
      <c r="G83" s="29"/>
      <c r="H83" s="29"/>
      <c r="I83" s="15"/>
      <c r="J83" s="25"/>
      <c r="K83" s="25"/>
      <c r="L83" s="9"/>
      <c r="M83" s="9"/>
      <c r="N83" s="9"/>
      <c r="O83" s="9"/>
      <c r="P83" s="9"/>
      <c r="Q83" s="15"/>
      <c r="R83" s="9"/>
      <c r="S83" s="15"/>
      <c r="T83" s="9"/>
      <c r="U83" s="9"/>
      <c r="V83" s="9"/>
    </row>
    <row r="84" ht="15.75">
      <c r="A84" s="9"/>
      <c r="B84" s="9"/>
      <c r="C84" s="9"/>
      <c r="D84" s="9"/>
      <c r="E84" s="29"/>
      <c r="F84" s="29"/>
      <c r="G84" s="29"/>
      <c r="H84" s="29"/>
      <c r="I84" s="15"/>
      <c r="J84" s="25"/>
      <c r="K84" s="25"/>
      <c r="L84" s="9"/>
      <c r="M84" s="9"/>
      <c r="N84" s="9"/>
      <c r="O84" s="9"/>
      <c r="P84" s="9"/>
      <c r="Q84" s="15"/>
      <c r="R84" s="9"/>
      <c r="S84" s="15"/>
      <c r="T84" s="9"/>
      <c r="U84" s="9"/>
      <c r="V84" s="9"/>
    </row>
    <row r="85" ht="15.75">
      <c r="A85" s="9"/>
      <c r="B85" s="9"/>
      <c r="C85" s="9"/>
      <c r="D85" s="9"/>
      <c r="E85" s="29"/>
      <c r="F85" s="29"/>
      <c r="G85" s="29"/>
      <c r="H85" s="29"/>
      <c r="I85" s="15"/>
      <c r="J85" s="25"/>
      <c r="K85" s="25"/>
      <c r="L85" s="9"/>
      <c r="M85" s="9"/>
      <c r="N85" s="9"/>
      <c r="O85" s="9"/>
      <c r="P85" s="9"/>
      <c r="Q85" s="15"/>
      <c r="R85" s="9"/>
      <c r="S85" s="15"/>
      <c r="T85" s="9"/>
      <c r="U85" s="9"/>
      <c r="V85" s="9"/>
    </row>
    <row r="86" ht="15.75">
      <c r="A86" s="9"/>
      <c r="B86" s="9"/>
      <c r="C86" s="9"/>
      <c r="D86" s="9"/>
      <c r="E86" s="29"/>
      <c r="F86" s="29"/>
      <c r="G86" s="29"/>
      <c r="H86" s="29"/>
      <c r="I86" s="15"/>
      <c r="J86" s="25"/>
      <c r="K86" s="25"/>
      <c r="L86" s="9"/>
      <c r="M86" s="9"/>
      <c r="N86" s="9"/>
      <c r="O86" s="9"/>
      <c r="P86" s="9"/>
      <c r="Q86" s="15"/>
      <c r="R86" s="9"/>
      <c r="S86" s="15"/>
      <c r="T86" s="9"/>
      <c r="U86" s="9"/>
      <c r="V86" s="9"/>
    </row>
    <row r="87" ht="15.75">
      <c r="A87" s="9"/>
      <c r="B87" s="9"/>
      <c r="C87" s="9"/>
      <c r="D87" s="9"/>
      <c r="E87" s="29"/>
      <c r="F87" s="29"/>
      <c r="G87" s="29"/>
      <c r="H87" s="29"/>
      <c r="I87" s="15"/>
      <c r="J87" s="25"/>
      <c r="K87" s="25"/>
      <c r="L87" s="9"/>
      <c r="M87" s="9"/>
      <c r="N87" s="9"/>
      <c r="O87" s="9"/>
      <c r="P87" s="9"/>
      <c r="Q87" s="15"/>
      <c r="R87" s="9"/>
      <c r="S87" s="15"/>
      <c r="T87" s="9"/>
      <c r="U87" s="9"/>
      <c r="V87" s="9"/>
    </row>
    <row r="88" ht="15.75">
      <c r="A88" s="9"/>
      <c r="B88" s="9"/>
      <c r="C88" s="9"/>
      <c r="D88" s="9"/>
      <c r="E88" s="29"/>
      <c r="F88" s="29"/>
      <c r="G88" s="29"/>
      <c r="H88" s="29"/>
      <c r="I88" s="15"/>
      <c r="J88" s="25"/>
      <c r="K88" s="25"/>
      <c r="L88" s="9"/>
      <c r="M88" s="9"/>
      <c r="N88" s="9"/>
      <c r="O88" s="9"/>
      <c r="P88" s="9"/>
      <c r="Q88" s="15"/>
      <c r="R88" s="9"/>
      <c r="S88" s="15"/>
      <c r="T88" s="9"/>
      <c r="U88" s="9"/>
      <c r="V88" s="9"/>
    </row>
    <row r="89" ht="15.75">
      <c r="A89" s="9"/>
      <c r="B89" s="9"/>
      <c r="C89" s="9"/>
      <c r="D89" s="9"/>
      <c r="E89" s="29"/>
      <c r="F89" s="29"/>
      <c r="G89" s="29"/>
      <c r="H89" s="29"/>
      <c r="I89" s="15"/>
      <c r="J89" s="25"/>
      <c r="K89" s="25"/>
      <c r="L89" s="9"/>
      <c r="M89" s="9"/>
      <c r="N89" s="9"/>
      <c r="O89" s="9"/>
      <c r="P89" s="9"/>
      <c r="Q89" s="15"/>
      <c r="R89" s="9"/>
      <c r="S89" s="15"/>
      <c r="T89" s="9"/>
      <c r="U89" s="9"/>
      <c r="V89" s="9"/>
    </row>
    <row r="90" ht="15.75">
      <c r="A90" s="9"/>
      <c r="B90" s="9"/>
      <c r="C90" s="9"/>
      <c r="D90" s="9"/>
      <c r="E90" s="29"/>
      <c r="F90" s="29"/>
      <c r="G90" s="29"/>
      <c r="H90" s="29"/>
      <c r="I90" s="15"/>
      <c r="J90" s="25"/>
      <c r="K90" s="25"/>
      <c r="L90" s="9"/>
      <c r="M90" s="9"/>
      <c r="N90" s="9"/>
      <c r="O90" s="9"/>
      <c r="P90" s="9"/>
      <c r="Q90" s="15"/>
      <c r="R90" s="9"/>
      <c r="S90" s="15"/>
      <c r="T90" s="9"/>
      <c r="U90" s="9"/>
      <c r="V90" s="9"/>
    </row>
    <row r="91" ht="15.75">
      <c r="A91" s="9"/>
      <c r="B91" s="9"/>
      <c r="C91" s="9"/>
      <c r="D91" s="9"/>
      <c r="E91" s="29"/>
      <c r="F91" s="29"/>
      <c r="G91" s="29"/>
      <c r="H91" s="29"/>
      <c r="I91" s="15"/>
      <c r="J91" s="25"/>
      <c r="K91" s="25"/>
      <c r="L91" s="9"/>
      <c r="M91" s="9"/>
      <c r="N91" s="9"/>
      <c r="O91" s="9"/>
      <c r="P91" s="9"/>
      <c r="Q91" s="15"/>
      <c r="R91" s="9"/>
      <c r="S91" s="15"/>
      <c r="T91" s="9"/>
      <c r="U91" s="9"/>
      <c r="V91" s="9"/>
    </row>
    <row r="92" ht="15.75">
      <c r="A92" s="9"/>
      <c r="B92" s="9"/>
      <c r="C92" s="9"/>
      <c r="D92" s="9"/>
      <c r="E92" s="29"/>
      <c r="F92" s="29"/>
      <c r="G92" s="29"/>
      <c r="H92" s="29"/>
      <c r="I92" s="15"/>
      <c r="J92" s="25"/>
      <c r="K92" s="25"/>
      <c r="L92" s="9"/>
      <c r="M92" s="9"/>
      <c r="N92" s="9"/>
      <c r="O92" s="9"/>
      <c r="P92" s="9"/>
      <c r="Q92" s="15"/>
      <c r="R92" s="9"/>
      <c r="S92" s="15"/>
      <c r="T92" s="9"/>
      <c r="U92" s="9"/>
      <c r="V92" s="9"/>
    </row>
    <row r="93" ht="15.75">
      <c r="A93" s="9"/>
      <c r="B93" s="9"/>
      <c r="C93" s="9"/>
      <c r="D93" s="9"/>
      <c r="E93" s="29"/>
      <c r="F93" s="29"/>
      <c r="G93" s="29"/>
      <c r="H93" s="29"/>
      <c r="I93" s="15"/>
      <c r="J93" s="25"/>
      <c r="K93" s="25"/>
      <c r="L93" s="9"/>
      <c r="M93" s="9"/>
      <c r="N93" s="9"/>
      <c r="O93" s="9"/>
      <c r="P93" s="9"/>
      <c r="Q93" s="15"/>
      <c r="R93" s="9"/>
      <c r="S93" s="15"/>
      <c r="T93" s="9"/>
      <c r="U93" s="9"/>
      <c r="V93" s="9"/>
    </row>
    <row r="94" ht="15.75">
      <c r="A94" s="9"/>
      <c r="B94" s="9"/>
      <c r="C94" s="9"/>
      <c r="D94" s="9"/>
      <c r="E94" s="29"/>
      <c r="F94" s="29"/>
      <c r="G94" s="29"/>
      <c r="H94" s="29"/>
      <c r="I94" s="15"/>
      <c r="J94" s="25"/>
      <c r="K94" s="25"/>
      <c r="L94" s="9"/>
      <c r="M94" s="9"/>
      <c r="N94" s="9"/>
      <c r="O94" s="9"/>
      <c r="P94" s="9"/>
      <c r="Q94" s="15"/>
      <c r="R94" s="9"/>
      <c r="S94" s="15"/>
      <c r="T94" s="9"/>
      <c r="U94" s="9"/>
      <c r="V94" s="9"/>
    </row>
  </sheetData>
  <autoFilter ref="A1:V16"/>
  <printOptions headings="0" gridLines="0"/>
  <pageMargins left="0" right="0" top="0" bottom="0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90" workbookViewId="0">
      <selection activeCell="A1" activeCellId="1" sqref="M17:M21 A1"/>
    </sheetView>
  </sheetViews>
  <sheetFormatPr baseColWidth="10" defaultColWidth="10.7109375" defaultRowHeight="14.25"/>
  <cols>
    <col customWidth="1" min="1" max="1" width="22.42578125"/>
    <col customWidth="1" min="2" max="2" width="8.28515625"/>
    <col customWidth="1" min="3" max="3" width="16.28515625"/>
    <col customWidth="1" min="4" max="4" width="4.28515625"/>
    <col customWidth="1" min="5" max="5" width="63.140625"/>
  </cols>
  <sheetData>
    <row r="1">
      <c r="A1" s="9"/>
      <c r="B1" s="9" t="s">
        <v>2</v>
      </c>
      <c r="C1" s="9" t="s">
        <v>32</v>
      </c>
      <c r="D1" s="9"/>
      <c r="E1" s="9"/>
    </row>
    <row r="2">
      <c r="A2" s="9" t="s">
        <v>33</v>
      </c>
      <c r="B2" s="9">
        <v>5</v>
      </c>
      <c r="C2" s="9">
        <v>80</v>
      </c>
      <c r="D2" s="9"/>
      <c r="E2" s="9"/>
    </row>
    <row r="3">
      <c r="A3" s="9" t="s">
        <v>34</v>
      </c>
      <c r="B3" s="9">
        <v>50</v>
      </c>
      <c r="C3" s="9">
        <v>90</v>
      </c>
      <c r="D3" s="9" t="s">
        <v>35</v>
      </c>
      <c r="E3" s="9" t="s">
        <v>36</v>
      </c>
    </row>
    <row r="4">
      <c r="A4" s="9" t="s">
        <v>34</v>
      </c>
      <c r="B4" s="9">
        <v>50</v>
      </c>
      <c r="C4" s="9">
        <v>90</v>
      </c>
      <c r="D4" s="9" t="s">
        <v>35</v>
      </c>
      <c r="E4" s="9" t="s">
        <v>37</v>
      </c>
    </row>
    <row r="5">
      <c r="A5" s="9" t="s">
        <v>38</v>
      </c>
      <c r="B5" s="9"/>
      <c r="C5" s="9"/>
      <c r="D5" s="9"/>
      <c r="E5" s="9" t="s">
        <v>39</v>
      </c>
    </row>
    <row r="6">
      <c r="A6" s="9" t="s">
        <v>40</v>
      </c>
      <c r="B6" s="9">
        <v>30</v>
      </c>
      <c r="C6" s="9">
        <v>90</v>
      </c>
      <c r="D6" s="9"/>
      <c r="E6" s="9" t="s">
        <v>41</v>
      </c>
    </row>
    <row r="7">
      <c r="A7" s="9" t="s">
        <v>42</v>
      </c>
      <c r="B7" s="9">
        <v>10</v>
      </c>
      <c r="C7" s="9">
        <v>40</v>
      </c>
      <c r="D7" s="9" t="s">
        <v>35</v>
      </c>
      <c r="E7" s="9" t="s">
        <v>43</v>
      </c>
    </row>
    <row r="8">
      <c r="A8" s="9" t="s">
        <v>44</v>
      </c>
      <c r="B8" s="9">
        <v>15</v>
      </c>
      <c r="C8" s="9">
        <v>50</v>
      </c>
      <c r="D8" s="9"/>
      <c r="E8" s="9" t="s">
        <v>45</v>
      </c>
    </row>
    <row r="9">
      <c r="A9" s="9" t="s">
        <v>46</v>
      </c>
      <c r="B9" s="9"/>
      <c r="C9" s="9"/>
      <c r="D9" s="9"/>
      <c r="E9" s="9"/>
    </row>
    <row r="10">
      <c r="A10" s="9" t="s">
        <v>47</v>
      </c>
      <c r="B10" s="9">
        <v>15</v>
      </c>
      <c r="C10" s="9">
        <v>60</v>
      </c>
      <c r="D10" s="9"/>
      <c r="E10" s="9"/>
    </row>
    <row r="11">
      <c r="A11" s="9" t="s">
        <v>48</v>
      </c>
      <c r="B11" s="9">
        <v>15</v>
      </c>
      <c r="C11" s="9">
        <v>60</v>
      </c>
      <c r="D11" s="9"/>
      <c r="E11" s="9"/>
    </row>
    <row r="12">
      <c r="A12" s="30" t="s">
        <v>49</v>
      </c>
      <c r="B12" s="30">
        <v>50</v>
      </c>
    </row>
    <row r="13">
      <c r="A13" t="s">
        <v>50</v>
      </c>
      <c r="B13">
        <v>15</v>
      </c>
      <c r="C13">
        <v>50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33" activeCellId="1" sqref="M17:M21 G33"/>
    </sheetView>
  </sheetViews>
  <sheetFormatPr baseColWidth="10" defaultColWidth="10.7109375" defaultRowHeight="14.25"/>
  <cols>
    <col customWidth="1" min="1" max="1" width="22.85546875"/>
    <col customWidth="1" min="2" max="6" width="4"/>
    <col customWidth="1" min="7" max="11" width="3"/>
    <col customWidth="1" min="12" max="12" width="4"/>
  </cols>
  <sheetData>
    <row r="1">
      <c r="A1" s="9" t="s">
        <v>51</v>
      </c>
      <c r="B1" s="9">
        <v>50</v>
      </c>
      <c r="C1" s="9">
        <v>55</v>
      </c>
      <c r="D1" s="9">
        <v>60</v>
      </c>
      <c r="E1" s="9">
        <v>65</v>
      </c>
      <c r="F1" s="9">
        <v>70</v>
      </c>
      <c r="G1" s="9">
        <v>75</v>
      </c>
      <c r="H1" s="9">
        <v>80</v>
      </c>
      <c r="I1" s="9">
        <v>85</v>
      </c>
      <c r="J1" s="9">
        <v>90</v>
      </c>
      <c r="K1" s="9">
        <v>95</v>
      </c>
      <c r="L1" s="9">
        <v>100</v>
      </c>
    </row>
    <row r="2">
      <c r="A2" s="9" t="s">
        <v>52</v>
      </c>
      <c r="B2" s="31">
        <f t="shared" ref="B2:L2" si="0">254*(100/B1-1)</f>
        <v>254</v>
      </c>
      <c r="C2" s="31">
        <f t="shared" si="0"/>
        <v>207.81818181818181</v>
      </c>
      <c r="D2" s="31">
        <f t="shared" si="0"/>
        <v>169.33333333333334</v>
      </c>
      <c r="E2" s="31">
        <f t="shared" si="0"/>
        <v>136.7692307692308</v>
      </c>
      <c r="F2" s="31">
        <f t="shared" si="0"/>
        <v>108.85714285714286</v>
      </c>
      <c r="G2" s="31">
        <f t="shared" si="0"/>
        <v>84.666666666666643</v>
      </c>
      <c r="H2" s="31">
        <f t="shared" si="0"/>
        <v>63.5</v>
      </c>
      <c r="I2" s="31">
        <f t="shared" si="0"/>
        <v>44.823529411764717</v>
      </c>
      <c r="J2" s="31">
        <f t="shared" si="0"/>
        <v>28.222222222222236</v>
      </c>
      <c r="K2" s="31">
        <f t="shared" si="0"/>
        <v>13.368421052631565</v>
      </c>
      <c r="L2" s="31">
        <f t="shared" si="0"/>
        <v>0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1" sqref="M17:M21 A1"/>
    </sheetView>
  </sheetViews>
  <sheetFormatPr baseColWidth="10" defaultColWidth="10.7109375" defaultRowHeight="14.25"/>
  <cols>
    <col customWidth="1" min="1" max="1" width="19.42578125"/>
    <col customWidth="1" min="2" max="2" width="53.140625"/>
  </cols>
  <sheetData>
    <row r="1">
      <c r="A1" s="9" t="s">
        <v>0</v>
      </c>
      <c r="B1" t="s">
        <v>53</v>
      </c>
    </row>
    <row r="2">
      <c r="A2" s="8" t="s">
        <v>1</v>
      </c>
      <c r="B2" t="s">
        <v>54</v>
      </c>
    </row>
    <row r="3">
      <c r="A3" s="9" t="s">
        <v>2</v>
      </c>
      <c r="B3" t="s">
        <v>55</v>
      </c>
    </row>
    <row r="4">
      <c r="A4" s="8" t="s">
        <v>3</v>
      </c>
      <c r="B4" t="s">
        <v>54</v>
      </c>
    </row>
    <row r="5">
      <c r="A5" s="9" t="s">
        <v>4</v>
      </c>
      <c r="B5" t="s">
        <v>56</v>
      </c>
    </row>
    <row r="6">
      <c r="A6" s="9" t="s">
        <v>5</v>
      </c>
      <c r="B6" t="s">
        <v>56</v>
      </c>
    </row>
    <row r="7">
      <c r="A7" s="9" t="s">
        <v>6</v>
      </c>
      <c r="B7" t="s">
        <v>56</v>
      </c>
    </row>
    <row r="8">
      <c r="A8" s="9" t="s">
        <v>7</v>
      </c>
      <c r="B8" t="s">
        <v>56</v>
      </c>
    </row>
    <row r="9">
      <c r="A9" s="12" t="s">
        <v>9</v>
      </c>
      <c r="B9" t="s">
        <v>57</v>
      </c>
    </row>
    <row r="10">
      <c r="A10" s="9" t="s">
        <v>10</v>
      </c>
      <c r="B10" t="s">
        <v>58</v>
      </c>
    </row>
    <row r="11">
      <c r="A11" s="9" t="s">
        <v>11</v>
      </c>
      <c r="B11" t="s">
        <v>59</v>
      </c>
    </row>
    <row r="12">
      <c r="A12" s="9" t="s">
        <v>13</v>
      </c>
      <c r="B12" t="s">
        <v>60</v>
      </c>
    </row>
    <row r="13">
      <c r="A13" s="9" t="s">
        <v>14</v>
      </c>
      <c r="B13" t="s">
        <v>61</v>
      </c>
    </row>
    <row r="14">
      <c r="A14" s="9" t="s">
        <v>15</v>
      </c>
      <c r="B14" t="s">
        <v>62</v>
      </c>
    </row>
    <row r="15">
      <c r="A15" s="8" t="s">
        <v>17</v>
      </c>
      <c r="B15" t="s">
        <v>63</v>
      </c>
    </row>
    <row r="16">
      <c r="A16" s="32" t="s">
        <v>18</v>
      </c>
      <c r="B16" t="s">
        <v>64</v>
      </c>
    </row>
    <row r="17">
      <c r="A17" s="8" t="s">
        <v>19</v>
      </c>
      <c r="B17" t="s">
        <v>65</v>
      </c>
    </row>
    <row r="18">
      <c r="A18" s="8" t="s">
        <v>20</v>
      </c>
      <c r="B18" t="s">
        <v>66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1" sqref="M17:M21 A3"/>
    </sheetView>
  </sheetViews>
  <sheetFormatPr baseColWidth="10" defaultColWidth="11.42578125" defaultRowHeight="14.25"/>
  <cols>
    <col customWidth="1" min="1" max="1" width="22.5703125"/>
    <col customWidth="1" min="2" max="2" width="127.140625"/>
  </cols>
  <sheetData>
    <row r="1" ht="114">
      <c r="A1" s="33" t="s">
        <v>67</v>
      </c>
      <c r="B1" s="33" t="s">
        <v>68</v>
      </c>
    </row>
    <row r="3">
      <c r="A3" s="33" t="s">
        <v>33</v>
      </c>
      <c r="B3" s="33" t="s">
        <v>69</v>
      </c>
    </row>
    <row r="5">
      <c r="A5" s="33" t="s">
        <v>70</v>
      </c>
      <c r="B5" s="33" t="s">
        <v>71</v>
      </c>
    </row>
    <row r="6" ht="28.5">
      <c r="A6" s="33" t="s">
        <v>72</v>
      </c>
    </row>
    <row r="8">
      <c r="A8" s="33" t="s">
        <v>73</v>
      </c>
      <c r="B8" s="34" t="s">
        <v>74</v>
      </c>
    </row>
    <row r="9" ht="28.5">
      <c r="B9" s="33" t="s">
        <v>75</v>
      </c>
    </row>
  </sheetData>
  <hyperlinks>
    <hyperlink r:id="rId1" ref="B8"/>
  </hyperlink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2" activeCellId="0" sqref="H2"/>
    </sheetView>
  </sheetViews>
  <sheetFormatPr baseColWidth="10" defaultColWidth="9.140625" defaultRowHeight="14.25"/>
  <cols>
    <col bestFit="1" customWidth="1" min="1" max="1" width="28.140625"/>
    <col bestFit="1" customWidth="1" min="2" max="2" width="34.5703125"/>
    <col bestFit="1" customWidth="1" min="3" max="3" width="19.28515625"/>
    <col bestFit="1" customWidth="1" min="4" max="4" width="19.140625"/>
    <col bestFit="1" customWidth="1" min="5" max="6" width="19.28515625"/>
    <col bestFit="1" customWidth="1" min="7" max="7" width="9.28515625"/>
  </cols>
  <sheetData>
    <row r="1" ht="41.25" customHeight="1">
      <c r="A1" s="35" t="s">
        <v>76</v>
      </c>
      <c r="B1" s="35" t="s">
        <v>77</v>
      </c>
      <c r="C1" s="35" t="s">
        <v>78</v>
      </c>
      <c r="D1" s="35" t="s">
        <v>79</v>
      </c>
      <c r="E1" s="35" t="s">
        <v>80</v>
      </c>
      <c r="F1" s="35" t="s">
        <v>81</v>
      </c>
      <c r="G1" s="35" t="s">
        <v>82</v>
      </c>
    </row>
    <row r="2" ht="15">
      <c r="A2" s="36">
        <v>111</v>
      </c>
      <c r="B2" s="36" t="s">
        <v>83</v>
      </c>
      <c r="C2" s="36">
        <v>98</v>
      </c>
      <c r="D2" s="36">
        <v>98</v>
      </c>
      <c r="E2" s="36">
        <v>98</v>
      </c>
      <c r="F2" s="36">
        <v>98</v>
      </c>
      <c r="G2" s="36">
        <v>111</v>
      </c>
      <c r="H2" t="str">
        <f t="shared" ref="H2:H9" si="1">"LIKE '%"&amp;G2&amp;"%'"</f>
        <v xml:space="preserve">LIKE '%111%'</v>
      </c>
    </row>
    <row r="3" ht="15">
      <c r="A3" s="36">
        <v>112</v>
      </c>
      <c r="B3" s="36" t="s">
        <v>84</v>
      </c>
      <c r="C3" s="36">
        <v>90</v>
      </c>
      <c r="D3" s="36">
        <v>90</v>
      </c>
      <c r="E3" s="36">
        <v>90</v>
      </c>
      <c r="F3" s="36">
        <v>90</v>
      </c>
      <c r="G3" s="36">
        <v>112</v>
      </c>
      <c r="H3" t="str">
        <f t="shared" si="1"/>
        <v xml:space="preserve">LIKE '%112%'</v>
      </c>
    </row>
    <row r="4" ht="15">
      <c r="A4" s="36">
        <v>121</v>
      </c>
      <c r="B4" s="36" t="s">
        <v>85</v>
      </c>
      <c r="C4" s="36">
        <v>95</v>
      </c>
      <c r="D4" s="36">
        <v>95</v>
      </c>
      <c r="E4" s="36">
        <v>95</v>
      </c>
      <c r="F4" s="36">
        <v>95</v>
      </c>
      <c r="G4" s="36">
        <v>121</v>
      </c>
      <c r="H4" t="str">
        <f t="shared" si="1"/>
        <v xml:space="preserve">LIKE '%121%'</v>
      </c>
    </row>
    <row r="5" ht="30">
      <c r="A5" s="36">
        <v>122</v>
      </c>
      <c r="B5" s="36" t="s">
        <v>86</v>
      </c>
      <c r="C5" s="36">
        <v>98</v>
      </c>
      <c r="D5" s="36">
        <v>98</v>
      </c>
      <c r="E5" s="36">
        <v>98</v>
      </c>
      <c r="F5" s="36">
        <v>98</v>
      </c>
      <c r="G5" s="36">
        <v>122</v>
      </c>
      <c r="H5" t="str">
        <f t="shared" si="1"/>
        <v xml:space="preserve">LIKE '%122%'</v>
      </c>
    </row>
    <row r="6" ht="15">
      <c r="A6" s="36">
        <v>123</v>
      </c>
      <c r="B6" s="36" t="s">
        <v>87</v>
      </c>
      <c r="C6" s="36">
        <v>98</v>
      </c>
      <c r="D6" s="36">
        <v>98</v>
      </c>
      <c r="E6" s="36">
        <v>98</v>
      </c>
      <c r="F6" s="36">
        <v>98</v>
      </c>
      <c r="G6" s="36">
        <v>123</v>
      </c>
      <c r="H6" t="str">
        <f t="shared" si="1"/>
        <v xml:space="preserve">LIKE '%123%'</v>
      </c>
    </row>
    <row r="7" ht="15">
      <c r="A7" s="36">
        <v>124</v>
      </c>
      <c r="B7" s="36" t="s">
        <v>88</v>
      </c>
      <c r="C7" s="36">
        <v>98</v>
      </c>
      <c r="D7" s="36">
        <v>98</v>
      </c>
      <c r="E7" s="36">
        <v>98</v>
      </c>
      <c r="F7" s="36">
        <v>98</v>
      </c>
      <c r="G7" s="36">
        <v>124</v>
      </c>
      <c r="H7" t="str">
        <f t="shared" si="1"/>
        <v xml:space="preserve">LIKE '%124%'</v>
      </c>
    </row>
    <row r="8" ht="15">
      <c r="A8" s="36">
        <v>131</v>
      </c>
      <c r="B8" s="36" t="s">
        <v>89</v>
      </c>
      <c r="C8" s="36">
        <v>85</v>
      </c>
      <c r="D8" s="36">
        <v>85</v>
      </c>
      <c r="E8" s="36">
        <v>85</v>
      </c>
      <c r="F8" s="36">
        <v>85</v>
      </c>
      <c r="G8" s="36">
        <v>131</v>
      </c>
      <c r="H8" t="str">
        <f t="shared" si="1"/>
        <v xml:space="preserve">LIKE '%131%'</v>
      </c>
    </row>
    <row r="9" ht="15">
      <c r="A9" s="36">
        <v>132</v>
      </c>
      <c r="B9" s="36" t="s">
        <v>90</v>
      </c>
      <c r="C9" s="36">
        <v>85</v>
      </c>
      <c r="D9" s="36">
        <v>85</v>
      </c>
      <c r="E9" s="36">
        <v>85</v>
      </c>
      <c r="F9" s="36">
        <v>85</v>
      </c>
      <c r="G9" s="36">
        <v>132</v>
      </c>
      <c r="H9" t="str">
        <f t="shared" si="1"/>
        <v xml:space="preserve">LIKE '%132%'</v>
      </c>
    </row>
    <row r="10" ht="15">
      <c r="A10" s="36">
        <v>133</v>
      </c>
      <c r="B10" s="36" t="s">
        <v>91</v>
      </c>
      <c r="C10" s="36">
        <v>85</v>
      </c>
      <c r="D10" s="36">
        <v>85</v>
      </c>
      <c r="E10" s="36">
        <v>85</v>
      </c>
      <c r="F10" s="36">
        <v>85</v>
      </c>
      <c r="G10" s="36">
        <v>133</v>
      </c>
      <c r="H10" t="str">
        <f t="shared" ref="H10:H45" si="2">"LIKE '%"&amp;G10&amp;"%'"</f>
        <v xml:space="preserve">LIKE '%133%'</v>
      </c>
    </row>
    <row r="11" ht="15">
      <c r="A11" s="36">
        <v>141</v>
      </c>
      <c r="B11" s="36" t="s">
        <v>92</v>
      </c>
      <c r="C11" s="36">
        <v>61</v>
      </c>
      <c r="D11" s="36">
        <v>75</v>
      </c>
      <c r="E11" s="36">
        <v>85</v>
      </c>
      <c r="F11" s="36">
        <v>90</v>
      </c>
      <c r="G11" s="36">
        <v>141</v>
      </c>
      <c r="H11" t="str">
        <f t="shared" si="2"/>
        <v xml:space="preserve">LIKE '%141%'</v>
      </c>
    </row>
    <row r="12" ht="15">
      <c r="A12" s="36">
        <v>142</v>
      </c>
      <c r="B12" s="36" t="s">
        <v>93</v>
      </c>
      <c r="C12" s="36">
        <v>61</v>
      </c>
      <c r="D12" s="36">
        <v>75</v>
      </c>
      <c r="E12" s="36">
        <v>85</v>
      </c>
      <c r="F12" s="36">
        <v>90</v>
      </c>
      <c r="G12" s="36">
        <v>142</v>
      </c>
      <c r="H12" t="str">
        <f t="shared" si="2"/>
        <v xml:space="preserve">LIKE '%142%'</v>
      </c>
    </row>
    <row r="13" ht="15">
      <c r="A13" s="36">
        <v>211</v>
      </c>
      <c r="B13" s="36" t="s">
        <v>94</v>
      </c>
      <c r="C13" s="36">
        <v>67</v>
      </c>
      <c r="D13" s="36">
        <v>78</v>
      </c>
      <c r="E13" s="36">
        <v>85</v>
      </c>
      <c r="F13" s="36">
        <v>89</v>
      </c>
      <c r="G13" s="36">
        <v>211</v>
      </c>
      <c r="H13" t="str">
        <f t="shared" si="2"/>
        <v xml:space="preserve">LIKE '%211%'</v>
      </c>
    </row>
    <row r="14" ht="15">
      <c r="A14" s="36">
        <v>212</v>
      </c>
      <c r="B14" s="36" t="s">
        <v>95</v>
      </c>
      <c r="C14" s="36">
        <v>72</v>
      </c>
      <c r="D14" s="36">
        <v>81</v>
      </c>
      <c r="E14" s="36">
        <v>88</v>
      </c>
      <c r="F14" s="36">
        <v>91</v>
      </c>
      <c r="G14" s="36">
        <v>212</v>
      </c>
      <c r="H14" t="str">
        <f t="shared" si="2"/>
        <v xml:space="preserve">LIKE '%212%'</v>
      </c>
    </row>
    <row r="15" ht="15">
      <c r="A15" s="36">
        <v>213</v>
      </c>
      <c r="B15" s="36" t="s">
        <v>96</v>
      </c>
      <c r="C15" s="36">
        <v>77</v>
      </c>
      <c r="D15" s="36">
        <v>85</v>
      </c>
      <c r="E15" s="36">
        <v>90</v>
      </c>
      <c r="F15" s="36">
        <v>93</v>
      </c>
      <c r="G15" s="36">
        <v>213</v>
      </c>
      <c r="H15" t="str">
        <f t="shared" si="2"/>
        <v xml:space="preserve">LIKE '%213%'</v>
      </c>
    </row>
    <row r="16" ht="15">
      <c r="A16" s="36">
        <v>221</v>
      </c>
      <c r="B16" s="36" t="s">
        <v>97</v>
      </c>
      <c r="C16" s="36">
        <v>63</v>
      </c>
      <c r="D16" s="36">
        <v>74</v>
      </c>
      <c r="E16" s="36">
        <v>82</v>
      </c>
      <c r="F16" s="36">
        <v>87</v>
      </c>
      <c r="G16" s="36">
        <v>221</v>
      </c>
      <c r="H16" t="str">
        <f t="shared" si="2"/>
        <v xml:space="preserve">LIKE '%221%'</v>
      </c>
    </row>
    <row r="17" ht="15">
      <c r="A17" s="36">
        <v>222</v>
      </c>
      <c r="B17" s="36" t="s">
        <v>98</v>
      </c>
      <c r="C17" s="36">
        <v>63</v>
      </c>
      <c r="D17" s="36">
        <v>74</v>
      </c>
      <c r="E17" s="36">
        <v>82</v>
      </c>
      <c r="F17" s="36">
        <v>87</v>
      </c>
      <c r="G17" s="36">
        <v>222</v>
      </c>
      <c r="H17" t="str">
        <f t="shared" si="2"/>
        <v xml:space="preserve">LIKE '%222%'</v>
      </c>
    </row>
    <row r="18" ht="15">
      <c r="A18" s="36">
        <v>223</v>
      </c>
      <c r="B18" s="36" t="s">
        <v>99</v>
      </c>
      <c r="C18" s="36">
        <v>63</v>
      </c>
      <c r="D18" s="36">
        <v>74</v>
      </c>
      <c r="E18" s="36">
        <v>82</v>
      </c>
      <c r="F18" s="36">
        <v>87</v>
      </c>
      <c r="G18" s="36">
        <v>223</v>
      </c>
      <c r="H18" t="str">
        <f t="shared" si="2"/>
        <v xml:space="preserve">LIKE '%223%'</v>
      </c>
    </row>
    <row r="19" ht="15">
      <c r="A19" s="36">
        <v>231</v>
      </c>
      <c r="B19" s="36" t="s">
        <v>100</v>
      </c>
      <c r="C19" s="36">
        <v>68</v>
      </c>
      <c r="D19" s="36">
        <v>79</v>
      </c>
      <c r="E19" s="36">
        <v>86</v>
      </c>
      <c r="F19" s="36">
        <v>89</v>
      </c>
      <c r="G19" s="36">
        <v>231</v>
      </c>
      <c r="H19" t="str">
        <f t="shared" si="2"/>
        <v xml:space="preserve">LIKE '%231%'</v>
      </c>
    </row>
    <row r="20" ht="30">
      <c r="A20" s="36">
        <v>241</v>
      </c>
      <c r="B20" s="36" t="s">
        <v>101</v>
      </c>
      <c r="C20" s="36">
        <v>67</v>
      </c>
      <c r="D20" s="36">
        <v>78</v>
      </c>
      <c r="E20" s="36">
        <v>85</v>
      </c>
      <c r="F20" s="36">
        <v>89</v>
      </c>
      <c r="G20" s="36">
        <v>241</v>
      </c>
      <c r="H20" t="str">
        <f t="shared" si="2"/>
        <v xml:space="preserve">LIKE '%241%'</v>
      </c>
    </row>
    <row r="21" ht="15">
      <c r="A21" s="36">
        <v>242</v>
      </c>
      <c r="B21" s="36" t="s">
        <v>102</v>
      </c>
      <c r="C21" s="36">
        <v>67</v>
      </c>
      <c r="D21" s="36">
        <v>78</v>
      </c>
      <c r="E21" s="36">
        <v>85</v>
      </c>
      <c r="F21" s="36">
        <v>89</v>
      </c>
      <c r="G21" s="36">
        <v>242</v>
      </c>
      <c r="H21" t="str">
        <f t="shared" si="2"/>
        <v xml:space="preserve">LIKE '%242%'</v>
      </c>
    </row>
    <row r="22" ht="45">
      <c r="A22" s="36">
        <v>243</v>
      </c>
      <c r="B22" s="36" t="s">
        <v>103</v>
      </c>
      <c r="C22" s="36">
        <v>67</v>
      </c>
      <c r="D22" s="36">
        <v>78</v>
      </c>
      <c r="E22" s="36">
        <v>85</v>
      </c>
      <c r="F22" s="36">
        <v>89</v>
      </c>
      <c r="G22" s="36">
        <v>243</v>
      </c>
      <c r="H22" t="str">
        <f t="shared" si="2"/>
        <v xml:space="preserve">LIKE '%243%'</v>
      </c>
    </row>
    <row r="23" ht="15">
      <c r="A23" s="36">
        <v>244</v>
      </c>
      <c r="B23" s="36" t="s">
        <v>104</v>
      </c>
      <c r="C23" s="36">
        <v>67</v>
      </c>
      <c r="D23" s="36">
        <v>78</v>
      </c>
      <c r="E23" s="36">
        <v>85</v>
      </c>
      <c r="F23" s="36">
        <v>89</v>
      </c>
      <c r="G23" s="36">
        <v>244</v>
      </c>
      <c r="H23" t="str">
        <f t="shared" si="2"/>
        <v xml:space="preserve">LIKE '%244%'</v>
      </c>
    </row>
    <row r="24" ht="15">
      <c r="A24" s="36">
        <v>311</v>
      </c>
      <c r="B24" s="36" t="s">
        <v>105</v>
      </c>
      <c r="C24" s="36">
        <v>55</v>
      </c>
      <c r="D24" s="36">
        <v>70</v>
      </c>
      <c r="E24" s="36">
        <v>80</v>
      </c>
      <c r="F24" s="36">
        <v>85</v>
      </c>
      <c r="G24" s="36">
        <v>311</v>
      </c>
      <c r="H24" t="str">
        <f t="shared" si="2"/>
        <v xml:space="preserve">LIKE '%311%'</v>
      </c>
    </row>
    <row r="25" ht="15">
      <c r="A25" s="36">
        <v>312</v>
      </c>
      <c r="B25" s="36" t="s">
        <v>106</v>
      </c>
      <c r="C25" s="36">
        <v>55</v>
      </c>
      <c r="D25" s="36">
        <v>70</v>
      </c>
      <c r="E25" s="36">
        <v>80</v>
      </c>
      <c r="F25" s="36">
        <v>85</v>
      </c>
      <c r="G25" s="36">
        <v>312</v>
      </c>
      <c r="H25" t="str">
        <f t="shared" si="2"/>
        <v xml:space="preserve">LIKE '%312%'</v>
      </c>
    </row>
    <row r="26" ht="15">
      <c r="A26" s="36">
        <v>313</v>
      </c>
      <c r="B26" s="36" t="s">
        <v>107</v>
      </c>
      <c r="C26" s="36">
        <v>55</v>
      </c>
      <c r="D26" s="36">
        <v>70</v>
      </c>
      <c r="E26" s="36">
        <v>80</v>
      </c>
      <c r="F26" s="36">
        <v>85</v>
      </c>
      <c r="G26" s="36">
        <v>313</v>
      </c>
      <c r="H26" t="str">
        <f t="shared" si="2"/>
        <v xml:space="preserve">LIKE '%313%'</v>
      </c>
    </row>
    <row r="27" ht="15">
      <c r="A27" s="36">
        <v>321</v>
      </c>
      <c r="B27" s="36" t="s">
        <v>108</v>
      </c>
      <c r="C27" s="36">
        <v>68</v>
      </c>
      <c r="D27" s="36">
        <v>79</v>
      </c>
      <c r="E27" s="36">
        <v>86</v>
      </c>
      <c r="F27" s="36">
        <v>89</v>
      </c>
      <c r="G27" s="36">
        <v>321</v>
      </c>
      <c r="H27" t="str">
        <f t="shared" si="2"/>
        <v xml:space="preserve">LIKE '%321%'</v>
      </c>
    </row>
    <row r="28" ht="15">
      <c r="A28" s="36">
        <v>322</v>
      </c>
      <c r="B28" s="36" t="s">
        <v>109</v>
      </c>
      <c r="C28" s="36">
        <v>68</v>
      </c>
      <c r="D28" s="36">
        <v>79</v>
      </c>
      <c r="E28" s="36">
        <v>86</v>
      </c>
      <c r="F28" s="36">
        <v>89</v>
      </c>
      <c r="G28" s="36">
        <v>322</v>
      </c>
      <c r="H28" t="str">
        <f t="shared" si="2"/>
        <v xml:space="preserve">LIKE '%322%'</v>
      </c>
    </row>
    <row r="29" ht="15">
      <c r="A29" s="36">
        <v>323</v>
      </c>
      <c r="B29" s="36" t="s">
        <v>110</v>
      </c>
      <c r="C29" s="36">
        <v>68</v>
      </c>
      <c r="D29" s="36">
        <v>79</v>
      </c>
      <c r="E29" s="36">
        <v>86</v>
      </c>
      <c r="F29" s="36">
        <v>89</v>
      </c>
      <c r="G29" s="36">
        <v>323</v>
      </c>
      <c r="H29" t="str">
        <f t="shared" si="2"/>
        <v xml:space="preserve">LIKE '%323%'</v>
      </c>
    </row>
    <row r="30" ht="15">
      <c r="A30" s="36">
        <v>324</v>
      </c>
      <c r="B30" s="36" t="s">
        <v>111</v>
      </c>
      <c r="C30" s="36">
        <v>68</v>
      </c>
      <c r="D30" s="36">
        <v>79</v>
      </c>
      <c r="E30" s="36">
        <v>86</v>
      </c>
      <c r="F30" s="36">
        <v>89</v>
      </c>
      <c r="G30" s="36">
        <v>324</v>
      </c>
      <c r="H30" t="str">
        <f t="shared" si="2"/>
        <v xml:space="preserve">LIKE '%324%'</v>
      </c>
    </row>
    <row r="31" ht="15">
      <c r="A31" s="36">
        <v>331</v>
      </c>
      <c r="B31" s="36" t="s">
        <v>112</v>
      </c>
      <c r="C31" s="36">
        <v>77</v>
      </c>
      <c r="D31" s="36">
        <v>85</v>
      </c>
      <c r="E31" s="36">
        <v>90</v>
      </c>
      <c r="F31" s="36">
        <v>93</v>
      </c>
      <c r="G31" s="36">
        <v>331</v>
      </c>
      <c r="H31" t="str">
        <f t="shared" si="2"/>
        <v xml:space="preserve">LIKE '%331%'</v>
      </c>
    </row>
    <row r="32" ht="15">
      <c r="A32" s="36">
        <v>332</v>
      </c>
      <c r="B32" s="36" t="s">
        <v>113</v>
      </c>
      <c r="C32" s="36">
        <v>77</v>
      </c>
      <c r="D32" s="36">
        <v>85</v>
      </c>
      <c r="E32" s="36">
        <v>90</v>
      </c>
      <c r="F32" s="36">
        <v>93</v>
      </c>
      <c r="G32" s="36">
        <v>332</v>
      </c>
      <c r="H32" t="str">
        <f t="shared" si="2"/>
        <v xml:space="preserve">LIKE '%332%'</v>
      </c>
    </row>
    <row r="33" ht="15">
      <c r="A33" s="36">
        <v>333</v>
      </c>
      <c r="B33" s="36" t="s">
        <v>114</v>
      </c>
      <c r="C33" s="36">
        <v>77</v>
      </c>
      <c r="D33" s="36">
        <v>85</v>
      </c>
      <c r="E33" s="36">
        <v>90</v>
      </c>
      <c r="F33" s="36">
        <v>93</v>
      </c>
      <c r="G33" s="36">
        <v>333</v>
      </c>
      <c r="H33" t="str">
        <f t="shared" si="2"/>
        <v xml:space="preserve">LIKE '%333%'</v>
      </c>
    </row>
    <row r="34" ht="15">
      <c r="A34" s="36">
        <v>334</v>
      </c>
      <c r="B34" s="36" t="s">
        <v>115</v>
      </c>
      <c r="C34" s="36">
        <v>77</v>
      </c>
      <c r="D34" s="36">
        <v>85</v>
      </c>
      <c r="E34" s="36">
        <v>90</v>
      </c>
      <c r="F34" s="36">
        <v>93</v>
      </c>
      <c r="G34" s="36">
        <v>334</v>
      </c>
      <c r="H34" t="str">
        <f t="shared" si="2"/>
        <v xml:space="preserve">LIKE '%334%'</v>
      </c>
    </row>
    <row r="35" ht="15">
      <c r="A35" s="36">
        <v>335</v>
      </c>
      <c r="B35" s="36" t="s">
        <v>116</v>
      </c>
      <c r="C35" s="36">
        <v>100</v>
      </c>
      <c r="D35" s="36">
        <v>100</v>
      </c>
      <c r="E35" s="36">
        <v>100</v>
      </c>
      <c r="F35" s="36">
        <v>100</v>
      </c>
      <c r="G35" s="36">
        <v>335</v>
      </c>
      <c r="H35" t="str">
        <f t="shared" si="2"/>
        <v xml:space="preserve">LIKE '%335%'</v>
      </c>
    </row>
    <row r="36" ht="15">
      <c r="A36" s="36">
        <v>411</v>
      </c>
      <c r="B36" s="36" t="s">
        <v>117</v>
      </c>
      <c r="C36" s="36">
        <v>98</v>
      </c>
      <c r="D36" s="36">
        <v>98</v>
      </c>
      <c r="E36" s="36">
        <v>98</v>
      </c>
      <c r="F36" s="36">
        <v>98</v>
      </c>
      <c r="G36" s="36">
        <v>411</v>
      </c>
      <c r="H36" t="str">
        <f t="shared" si="2"/>
        <v xml:space="preserve">LIKE '%411%'</v>
      </c>
    </row>
    <row r="37" ht="15">
      <c r="A37" s="36">
        <v>412</v>
      </c>
      <c r="B37" s="36" t="s">
        <v>118</v>
      </c>
      <c r="C37" s="36">
        <v>98</v>
      </c>
      <c r="D37" s="36">
        <v>98</v>
      </c>
      <c r="E37" s="36">
        <v>98</v>
      </c>
      <c r="F37" s="36">
        <v>98</v>
      </c>
      <c r="G37" s="36">
        <v>412</v>
      </c>
      <c r="H37" t="str">
        <f t="shared" si="2"/>
        <v xml:space="preserve">LIKE '%412%'</v>
      </c>
    </row>
    <row r="38" ht="15">
      <c r="A38" s="36">
        <v>421</v>
      </c>
      <c r="B38" s="36" t="s">
        <v>119</v>
      </c>
      <c r="C38" s="36">
        <v>98</v>
      </c>
      <c r="D38" s="36">
        <v>98</v>
      </c>
      <c r="E38" s="36">
        <v>98</v>
      </c>
      <c r="F38" s="36">
        <v>98</v>
      </c>
      <c r="G38" s="36">
        <v>421</v>
      </c>
      <c r="H38" t="str">
        <f t="shared" si="2"/>
        <v xml:space="preserve">LIKE '%421%'</v>
      </c>
    </row>
    <row r="39" ht="15">
      <c r="A39" s="36">
        <v>422</v>
      </c>
      <c r="B39" s="36" t="s">
        <v>120</v>
      </c>
      <c r="C39" s="36">
        <v>98</v>
      </c>
      <c r="D39" s="36">
        <v>98</v>
      </c>
      <c r="E39" s="36">
        <v>98</v>
      </c>
      <c r="F39" s="36">
        <v>98</v>
      </c>
      <c r="G39" s="36">
        <v>422</v>
      </c>
      <c r="H39" t="str">
        <f t="shared" si="2"/>
        <v xml:space="preserve">LIKE '%422%'</v>
      </c>
    </row>
    <row r="40" ht="15">
      <c r="A40" s="36">
        <v>423</v>
      </c>
      <c r="B40" s="36" t="s">
        <v>121</v>
      </c>
      <c r="C40" s="36">
        <v>98</v>
      </c>
      <c r="D40" s="36">
        <v>98</v>
      </c>
      <c r="E40" s="36">
        <v>98</v>
      </c>
      <c r="F40" s="36">
        <v>98</v>
      </c>
      <c r="G40" s="36">
        <v>423</v>
      </c>
      <c r="H40" t="str">
        <f t="shared" si="2"/>
        <v xml:space="preserve">LIKE '%423%'</v>
      </c>
    </row>
    <row r="41" ht="15">
      <c r="A41" s="36">
        <v>511</v>
      </c>
      <c r="B41" s="36" t="s">
        <v>122</v>
      </c>
      <c r="C41" s="36">
        <v>100</v>
      </c>
      <c r="D41" s="36">
        <v>100</v>
      </c>
      <c r="E41" s="36">
        <v>100</v>
      </c>
      <c r="F41" s="36">
        <v>100</v>
      </c>
      <c r="G41" s="36">
        <v>511</v>
      </c>
      <c r="H41" t="str">
        <f t="shared" si="2"/>
        <v xml:space="preserve">LIKE '%511%'</v>
      </c>
    </row>
    <row r="42" ht="15">
      <c r="A42" s="36">
        <v>512</v>
      </c>
      <c r="B42" s="36" t="s">
        <v>123</v>
      </c>
      <c r="C42" s="36">
        <v>100</v>
      </c>
      <c r="D42" s="36">
        <v>100</v>
      </c>
      <c r="E42" s="36">
        <v>100</v>
      </c>
      <c r="F42" s="36">
        <v>100</v>
      </c>
      <c r="G42" s="36">
        <v>512</v>
      </c>
      <c r="H42" t="str">
        <f t="shared" si="2"/>
        <v xml:space="preserve">LIKE '%512%'</v>
      </c>
    </row>
    <row r="43" ht="15">
      <c r="A43" s="36">
        <v>521</v>
      </c>
      <c r="B43" s="36" t="s">
        <v>124</v>
      </c>
      <c r="C43" s="36">
        <v>100</v>
      </c>
      <c r="D43" s="36">
        <v>100</v>
      </c>
      <c r="E43" s="36">
        <v>100</v>
      </c>
      <c r="F43" s="36">
        <v>100</v>
      </c>
      <c r="G43" s="36">
        <v>521</v>
      </c>
      <c r="H43" t="str">
        <f t="shared" si="2"/>
        <v xml:space="preserve">LIKE '%521%'</v>
      </c>
    </row>
    <row r="44" ht="15">
      <c r="A44" s="36">
        <v>522</v>
      </c>
      <c r="B44" s="36" t="s">
        <v>125</v>
      </c>
      <c r="C44" s="36">
        <v>100</v>
      </c>
      <c r="D44" s="36">
        <v>100</v>
      </c>
      <c r="E44" s="36">
        <v>100</v>
      </c>
      <c r="F44" s="36">
        <v>100</v>
      </c>
      <c r="G44" s="36">
        <v>522</v>
      </c>
      <c r="H44" t="str">
        <f t="shared" si="2"/>
        <v xml:space="preserve">LIKE '%522%'</v>
      </c>
    </row>
    <row r="45" ht="15">
      <c r="A45" s="36">
        <v>523</v>
      </c>
      <c r="B45" s="36" t="s">
        <v>126</v>
      </c>
      <c r="C45" s="36">
        <v>100</v>
      </c>
      <c r="D45" s="36">
        <v>100</v>
      </c>
      <c r="E45" s="36">
        <v>100</v>
      </c>
      <c r="F45" s="36">
        <v>100</v>
      </c>
      <c r="G45" s="36">
        <v>523</v>
      </c>
      <c r="H45" t="str">
        <f t="shared" si="2"/>
        <v xml:space="preserve">LIKE '%523%'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J26" activeCellId="0" sqref="J3:J26"/>
    </sheetView>
  </sheetViews>
  <sheetFormatPr baseColWidth="10" defaultRowHeight="14.25"/>
  <cols>
    <col bestFit="1" customWidth="1" min="1" max="1" style="37" width="31.28515625"/>
    <col bestFit="1" customWidth="1" min="2" max="2" style="37" width="34.42578125"/>
    <col bestFit="1" customWidth="1" min="3" max="3" style="37" width="2"/>
    <col bestFit="1" customWidth="1" min="4" max="4" style="37" width="18.42578125"/>
    <col min="5" max="7" style="37" width="11.42578125"/>
    <col bestFit="1" customWidth="1" min="8" max="8" style="37" width="22.28515625"/>
    <col customWidth="1" min="9" max="10" style="37" width="22.28515625"/>
    <col min="11" max="16384" style="37" width="11.42578125"/>
  </cols>
  <sheetData>
    <row r="1">
      <c r="D1" s="38" t="s">
        <v>127</v>
      </c>
      <c r="E1" s="38"/>
      <c r="F1" s="38"/>
      <c r="G1" s="38"/>
      <c r="H1" s="38"/>
      <c r="I1" s="38"/>
      <c r="J1" s="38"/>
      <c r="K1" s="38" t="s">
        <v>128</v>
      </c>
      <c r="L1" s="38"/>
      <c r="M1" s="38"/>
      <c r="N1" s="38"/>
      <c r="O1" s="38"/>
    </row>
    <row r="2">
      <c r="A2" s="39" t="s">
        <v>129</v>
      </c>
      <c r="B2" s="39" t="s">
        <v>130</v>
      </c>
      <c r="E2" s="39" t="s">
        <v>131</v>
      </c>
      <c r="F2" s="39" t="s">
        <v>132</v>
      </c>
      <c r="G2" s="39" t="s">
        <v>133</v>
      </c>
      <c r="H2" s="39" t="s">
        <v>134</v>
      </c>
      <c r="I2" s="39" t="s">
        <v>129</v>
      </c>
      <c r="J2" s="39"/>
      <c r="K2" s="37" t="s">
        <v>135</v>
      </c>
      <c r="L2" s="37" t="s">
        <v>131</v>
      </c>
      <c r="M2" s="37" t="s">
        <v>132</v>
      </c>
      <c r="N2" s="37" t="s">
        <v>133</v>
      </c>
      <c r="O2" s="37" t="s">
        <v>134</v>
      </c>
    </row>
    <row r="3" ht="28.5">
      <c r="A3" s="39">
        <v>1</v>
      </c>
      <c r="B3" s="39" t="s">
        <v>136</v>
      </c>
      <c r="C3" s="37">
        <f t="shared" ref="C3:C26" si="3">IF(A2=A3,0,1)</f>
        <v>1</v>
      </c>
      <c r="D3" s="40" t="s">
        <v>137</v>
      </c>
      <c r="E3" s="41">
        <v>67</v>
      </c>
      <c r="F3" s="41">
        <v>78</v>
      </c>
      <c r="G3" s="41">
        <v>85</v>
      </c>
      <c r="H3" s="41">
        <v>89</v>
      </c>
      <c r="I3" s="41">
        <v>1</v>
      </c>
      <c r="J3" s="1" t="str">
        <f t="shared" ref="J3:J30" si="4">"LIKE '"&amp;I3&amp;"'"</f>
        <v xml:space="preserve">LIKE '1'</v>
      </c>
      <c r="K3" s="37">
        <v>1</v>
      </c>
      <c r="L3" s="37">
        <v>30</v>
      </c>
      <c r="M3" s="37">
        <v>55</v>
      </c>
      <c r="N3" s="37">
        <v>70</v>
      </c>
      <c r="O3" s="37">
        <v>77</v>
      </c>
    </row>
    <row r="4" ht="28.5">
      <c r="A4" s="39">
        <v>2</v>
      </c>
      <c r="B4" s="39" t="s">
        <v>138</v>
      </c>
      <c r="C4" s="37">
        <f t="shared" si="3"/>
        <v>1</v>
      </c>
      <c r="D4" s="40" t="s">
        <v>137</v>
      </c>
      <c r="E4" s="41">
        <v>67</v>
      </c>
      <c r="F4" s="41">
        <v>78</v>
      </c>
      <c r="G4" s="41">
        <v>85</v>
      </c>
      <c r="H4" s="41">
        <v>89</v>
      </c>
      <c r="I4" s="41">
        <v>2</v>
      </c>
      <c r="J4" s="1" t="str">
        <f t="shared" si="4"/>
        <v xml:space="preserve">LIKE '2'</v>
      </c>
      <c r="K4" s="37">
        <v>2</v>
      </c>
      <c r="L4" s="37">
        <v>36</v>
      </c>
      <c r="M4" s="37">
        <v>61</v>
      </c>
      <c r="N4" s="37">
        <v>75</v>
      </c>
      <c r="O4" s="37">
        <v>80</v>
      </c>
    </row>
    <row r="5" ht="28.5">
      <c r="A5" s="39">
        <v>3</v>
      </c>
      <c r="B5" s="39" t="s">
        <v>139</v>
      </c>
      <c r="C5" s="37">
        <f t="shared" si="3"/>
        <v>1</v>
      </c>
      <c r="D5" s="40" t="s">
        <v>137</v>
      </c>
      <c r="E5" s="41">
        <v>67</v>
      </c>
      <c r="F5" s="41">
        <v>78</v>
      </c>
      <c r="G5" s="41">
        <v>85</v>
      </c>
      <c r="H5" s="41">
        <v>89</v>
      </c>
      <c r="I5" s="41">
        <v>3</v>
      </c>
      <c r="J5" s="1" t="str">
        <f t="shared" si="4"/>
        <v xml:space="preserve">LIKE '3'</v>
      </c>
      <c r="K5" s="37">
        <v>3</v>
      </c>
      <c r="L5" s="37">
        <v>41</v>
      </c>
      <c r="M5" s="37">
        <v>67</v>
      </c>
      <c r="N5" s="37">
        <v>80</v>
      </c>
      <c r="O5" s="37">
        <v>85</v>
      </c>
    </row>
    <row r="6" ht="28.5">
      <c r="A6" s="39">
        <v>4</v>
      </c>
      <c r="B6" s="39" t="s">
        <v>140</v>
      </c>
      <c r="C6" s="37">
        <f t="shared" si="3"/>
        <v>1</v>
      </c>
      <c r="D6" s="40" t="s">
        <v>137</v>
      </c>
      <c r="E6" s="41">
        <v>67</v>
      </c>
      <c r="F6" s="41">
        <v>78</v>
      </c>
      <c r="G6" s="41">
        <v>85</v>
      </c>
      <c r="H6" s="41">
        <v>89</v>
      </c>
      <c r="I6" s="41">
        <v>4</v>
      </c>
      <c r="J6" s="1" t="str">
        <f t="shared" si="4"/>
        <v xml:space="preserve">LIKE '4'</v>
      </c>
      <c r="K6" s="37">
        <v>4</v>
      </c>
      <c r="L6" s="37">
        <v>45</v>
      </c>
      <c r="M6" s="37">
        <v>71</v>
      </c>
      <c r="N6" s="37">
        <v>84</v>
      </c>
      <c r="O6" s="37">
        <v>88</v>
      </c>
    </row>
    <row r="7" ht="28.5">
      <c r="A7" s="39">
        <v>5</v>
      </c>
      <c r="B7" s="39" t="s">
        <v>141</v>
      </c>
      <c r="C7" s="37">
        <f t="shared" si="3"/>
        <v>1</v>
      </c>
      <c r="D7" s="40" t="s">
        <v>137</v>
      </c>
      <c r="E7" s="41">
        <v>67</v>
      </c>
      <c r="F7" s="41">
        <v>78</v>
      </c>
      <c r="G7" s="41">
        <v>85</v>
      </c>
      <c r="H7" s="41">
        <v>89</v>
      </c>
      <c r="I7" s="41">
        <v>5</v>
      </c>
      <c r="J7" s="1" t="str">
        <f t="shared" si="4"/>
        <v xml:space="preserve">LIKE '5'</v>
      </c>
      <c r="K7" s="37">
        <v>5</v>
      </c>
      <c r="L7" s="37">
        <v>49</v>
      </c>
      <c r="M7" s="37">
        <v>74</v>
      </c>
      <c r="N7" s="37">
        <v>86</v>
      </c>
      <c r="O7" s="37">
        <v>90</v>
      </c>
    </row>
    <row r="8" ht="28.5">
      <c r="A8" s="39">
        <v>6</v>
      </c>
      <c r="B8" s="39" t="s">
        <v>142</v>
      </c>
      <c r="C8" s="37">
        <f t="shared" si="3"/>
        <v>1</v>
      </c>
      <c r="D8" s="40" t="s">
        <v>137</v>
      </c>
      <c r="E8" s="41">
        <v>67</v>
      </c>
      <c r="F8" s="41">
        <v>78</v>
      </c>
      <c r="G8" s="41">
        <v>85</v>
      </c>
      <c r="H8" s="41">
        <v>89</v>
      </c>
      <c r="I8" s="41">
        <v>6</v>
      </c>
      <c r="J8" s="1" t="str">
        <f t="shared" si="4"/>
        <v xml:space="preserve">LIKE '6'</v>
      </c>
      <c r="K8" s="37">
        <v>6</v>
      </c>
      <c r="L8" s="37">
        <v>52</v>
      </c>
      <c r="M8" s="37">
        <v>76</v>
      </c>
      <c r="N8" s="37">
        <v>88</v>
      </c>
      <c r="O8" s="37">
        <v>91</v>
      </c>
    </row>
    <row r="9" ht="28.5">
      <c r="A9" s="39">
        <v>7</v>
      </c>
      <c r="B9" s="39" t="s">
        <v>143</v>
      </c>
      <c r="C9" s="37">
        <f t="shared" si="3"/>
        <v>1</v>
      </c>
      <c r="D9" s="40" t="s">
        <v>137</v>
      </c>
      <c r="E9" s="41">
        <v>67</v>
      </c>
      <c r="F9" s="41">
        <v>78</v>
      </c>
      <c r="G9" s="41">
        <v>85</v>
      </c>
      <c r="H9" s="41">
        <v>89</v>
      </c>
      <c r="I9" s="41">
        <v>7</v>
      </c>
      <c r="J9" s="1" t="str">
        <f t="shared" si="4"/>
        <v xml:space="preserve">LIKE '7'</v>
      </c>
      <c r="K9" s="37">
        <v>7</v>
      </c>
      <c r="L9" s="37">
        <v>55</v>
      </c>
      <c r="M9" s="37">
        <v>78</v>
      </c>
      <c r="N9" s="37">
        <v>90</v>
      </c>
      <c r="O9" s="37">
        <v>92</v>
      </c>
    </row>
    <row r="10" ht="28.5">
      <c r="A10" s="39">
        <v>8</v>
      </c>
      <c r="B10" s="39" t="s">
        <v>144</v>
      </c>
      <c r="C10" s="37">
        <f t="shared" si="3"/>
        <v>1</v>
      </c>
      <c r="D10" s="40" t="s">
        <v>137</v>
      </c>
      <c r="E10" s="41">
        <v>67</v>
      </c>
      <c r="F10" s="41">
        <v>78</v>
      </c>
      <c r="G10" s="41">
        <v>85</v>
      </c>
      <c r="H10" s="41">
        <v>89</v>
      </c>
      <c r="I10" s="41">
        <v>8</v>
      </c>
      <c r="J10" s="1" t="str">
        <f t="shared" si="4"/>
        <v xml:space="preserve">LIKE '8'</v>
      </c>
      <c r="K10" s="37">
        <v>8</v>
      </c>
      <c r="L10" s="37">
        <v>58</v>
      </c>
      <c r="M10" s="37">
        <v>80</v>
      </c>
      <c r="N10" s="37">
        <v>91</v>
      </c>
      <c r="O10" s="37">
        <v>93</v>
      </c>
    </row>
    <row r="11" ht="28.5">
      <c r="A11" s="39">
        <v>9</v>
      </c>
      <c r="B11" s="39" t="s">
        <v>145</v>
      </c>
      <c r="C11" s="37">
        <f t="shared" si="3"/>
        <v>1</v>
      </c>
      <c r="D11" s="40" t="s">
        <v>137</v>
      </c>
      <c r="E11" s="41">
        <v>67</v>
      </c>
      <c r="F11" s="41">
        <v>78</v>
      </c>
      <c r="G11" s="41">
        <v>85</v>
      </c>
      <c r="H11" s="41">
        <v>89</v>
      </c>
      <c r="I11" s="41">
        <v>9</v>
      </c>
      <c r="J11" s="1" t="str">
        <f t="shared" si="4"/>
        <v xml:space="preserve">LIKE '9'</v>
      </c>
      <c r="K11" s="37">
        <v>9</v>
      </c>
      <c r="L11" s="37">
        <v>61</v>
      </c>
      <c r="M11" s="37">
        <v>82</v>
      </c>
      <c r="N11" s="37">
        <v>92</v>
      </c>
      <c r="O11" s="37">
        <v>94</v>
      </c>
    </row>
    <row r="12" ht="15">
      <c r="A12" s="39">
        <v>11</v>
      </c>
      <c r="B12" s="39" t="s">
        <v>146</v>
      </c>
      <c r="C12" s="37">
        <f t="shared" si="3"/>
        <v>1</v>
      </c>
      <c r="E12" s="39">
        <v>63</v>
      </c>
      <c r="F12" s="39">
        <v>84</v>
      </c>
      <c r="G12" s="39">
        <v>93</v>
      </c>
      <c r="H12" s="39">
        <v>95</v>
      </c>
      <c r="I12" s="39">
        <v>11</v>
      </c>
      <c r="J12" s="1" t="str">
        <f t="shared" si="4"/>
        <v xml:space="preserve">LIKE '11'</v>
      </c>
      <c r="K12" s="37">
        <v>10</v>
      </c>
      <c r="L12" s="37">
        <v>63</v>
      </c>
      <c r="M12" s="37">
        <v>84</v>
      </c>
      <c r="N12" s="37">
        <v>93</v>
      </c>
      <c r="O12" s="37">
        <v>95</v>
      </c>
    </row>
    <row r="13" ht="28.5">
      <c r="A13" s="39">
        <v>14</v>
      </c>
      <c r="B13" s="39" t="s">
        <v>147</v>
      </c>
      <c r="C13" s="37">
        <f t="shared" si="3"/>
        <v>1</v>
      </c>
      <c r="D13" s="40" t="s">
        <v>137</v>
      </c>
      <c r="E13" s="41">
        <v>77</v>
      </c>
      <c r="F13" s="41">
        <v>85</v>
      </c>
      <c r="G13" s="41">
        <v>90</v>
      </c>
      <c r="H13" s="41">
        <v>93</v>
      </c>
      <c r="I13" s="41">
        <v>14</v>
      </c>
      <c r="J13" s="1" t="str">
        <f t="shared" si="4"/>
        <v xml:space="preserve">LIKE '14'</v>
      </c>
      <c r="K13" s="37">
        <v>11</v>
      </c>
      <c r="L13" s="37">
        <v>65</v>
      </c>
      <c r="M13" s="37">
        <v>85</v>
      </c>
      <c r="N13" s="37">
        <v>94</v>
      </c>
      <c r="O13" s="37">
        <v>96</v>
      </c>
    </row>
    <row r="14" ht="28.5">
      <c r="A14" s="39">
        <v>15</v>
      </c>
      <c r="B14" s="39" t="s">
        <v>148</v>
      </c>
      <c r="C14" s="37">
        <f t="shared" si="3"/>
        <v>1</v>
      </c>
      <c r="D14" s="40" t="s">
        <v>137</v>
      </c>
      <c r="E14" s="41">
        <v>67</v>
      </c>
      <c r="F14" s="41">
        <v>78</v>
      </c>
      <c r="G14" s="41">
        <v>85</v>
      </c>
      <c r="H14" s="41">
        <v>89</v>
      </c>
      <c r="I14" s="41">
        <v>15</v>
      </c>
      <c r="J14" s="1" t="str">
        <f t="shared" si="4"/>
        <v xml:space="preserve">LIKE '15'</v>
      </c>
      <c r="K14" s="37">
        <v>12</v>
      </c>
      <c r="L14" s="37">
        <v>67</v>
      </c>
      <c r="M14" s="37">
        <v>86</v>
      </c>
      <c r="N14" s="37">
        <v>95</v>
      </c>
      <c r="O14" s="37">
        <v>97</v>
      </c>
    </row>
    <row r="15" ht="28.5">
      <c r="A15" s="39">
        <v>16</v>
      </c>
      <c r="B15" s="39" t="s">
        <v>149</v>
      </c>
      <c r="C15" s="37">
        <f t="shared" si="3"/>
        <v>1</v>
      </c>
      <c r="D15" s="40" t="s">
        <v>137</v>
      </c>
      <c r="E15" s="41">
        <v>68</v>
      </c>
      <c r="F15" s="41">
        <v>79</v>
      </c>
      <c r="G15" s="41">
        <v>86</v>
      </c>
      <c r="H15" s="41">
        <v>89</v>
      </c>
      <c r="I15" s="41">
        <v>16</v>
      </c>
      <c r="J15" s="1" t="str">
        <f t="shared" si="4"/>
        <v xml:space="preserve">LIKE '16'</v>
      </c>
      <c r="K15" s="37">
        <v>13</v>
      </c>
      <c r="L15" s="37">
        <v>69</v>
      </c>
      <c r="M15" s="37">
        <v>87</v>
      </c>
      <c r="N15" s="37">
        <v>96</v>
      </c>
      <c r="O15" s="37">
        <v>98</v>
      </c>
    </row>
    <row r="16" ht="28.5">
      <c r="A16" s="39">
        <v>17</v>
      </c>
      <c r="B16" s="39" t="s">
        <v>150</v>
      </c>
      <c r="C16" s="37">
        <f t="shared" si="3"/>
        <v>1</v>
      </c>
      <c r="D16" s="40" t="s">
        <v>137</v>
      </c>
      <c r="E16" s="41">
        <v>30</v>
      </c>
      <c r="F16" s="41">
        <v>58</v>
      </c>
      <c r="G16" s="41">
        <v>71</v>
      </c>
      <c r="H16" s="41">
        <v>7</v>
      </c>
      <c r="I16" s="41">
        <v>17</v>
      </c>
      <c r="J16" s="1" t="str">
        <f t="shared" si="4"/>
        <v xml:space="preserve">LIKE '17'</v>
      </c>
      <c r="K16" s="37">
        <v>14</v>
      </c>
      <c r="L16" s="37">
        <v>71</v>
      </c>
      <c r="M16" s="37">
        <v>88</v>
      </c>
      <c r="N16" s="37">
        <v>97</v>
      </c>
      <c r="O16" s="37">
        <v>99</v>
      </c>
    </row>
    <row r="17" ht="28.5">
      <c r="A17" s="39">
        <v>18</v>
      </c>
      <c r="B17" s="39" t="s">
        <v>151</v>
      </c>
      <c r="C17" s="37">
        <f t="shared" si="3"/>
        <v>1</v>
      </c>
      <c r="D17" s="40" t="s">
        <v>137</v>
      </c>
      <c r="E17" s="42">
        <v>49</v>
      </c>
      <c r="F17" s="42">
        <v>69</v>
      </c>
      <c r="G17" s="42">
        <v>79</v>
      </c>
      <c r="H17" s="42">
        <v>84</v>
      </c>
      <c r="I17" s="42">
        <v>18</v>
      </c>
      <c r="J17" s="1" t="str">
        <f t="shared" si="4"/>
        <v xml:space="preserve">LIKE '18'</v>
      </c>
      <c r="K17" s="37">
        <v>15</v>
      </c>
      <c r="L17" s="37">
        <v>73</v>
      </c>
      <c r="M17" s="37">
        <v>89</v>
      </c>
      <c r="N17" s="37">
        <v>98</v>
      </c>
      <c r="O17" s="37">
        <v>100</v>
      </c>
    </row>
    <row r="18" ht="28.5">
      <c r="A18" s="39">
        <v>19</v>
      </c>
      <c r="B18" s="39" t="s">
        <v>152</v>
      </c>
      <c r="C18" s="37">
        <f t="shared" si="3"/>
        <v>1</v>
      </c>
      <c r="D18" s="40" t="s">
        <v>137</v>
      </c>
      <c r="E18" s="41">
        <v>68</v>
      </c>
      <c r="F18" s="41">
        <v>79</v>
      </c>
      <c r="G18" s="41">
        <v>86</v>
      </c>
      <c r="H18" s="41">
        <v>89</v>
      </c>
      <c r="I18" s="41">
        <v>19</v>
      </c>
      <c r="J18" s="1" t="str">
        <f t="shared" si="4"/>
        <v xml:space="preserve">LIKE '19'</v>
      </c>
      <c r="K18" s="37">
        <v>16</v>
      </c>
      <c r="L18" s="37">
        <v>75</v>
      </c>
      <c r="M18" s="37">
        <v>90</v>
      </c>
      <c r="N18" s="37">
        <v>99</v>
      </c>
      <c r="O18" s="37">
        <v>100</v>
      </c>
    </row>
    <row r="19" ht="28.5">
      <c r="A19" s="39">
        <v>20</v>
      </c>
      <c r="B19" s="39" t="s">
        <v>153</v>
      </c>
      <c r="C19" s="37">
        <f t="shared" si="3"/>
        <v>1</v>
      </c>
      <c r="D19" s="40" t="s">
        <v>137</v>
      </c>
      <c r="E19" s="43">
        <v>43</v>
      </c>
      <c r="F19" s="43">
        <v>65</v>
      </c>
      <c r="G19" s="43">
        <v>76</v>
      </c>
      <c r="H19" s="43">
        <v>82</v>
      </c>
      <c r="I19" s="44">
        <v>20</v>
      </c>
      <c r="J19" s="1" t="str">
        <f t="shared" si="4"/>
        <v xml:space="preserve">LIKE '20'</v>
      </c>
      <c r="K19" s="37">
        <v>17</v>
      </c>
      <c r="L19" s="43">
        <v>43</v>
      </c>
      <c r="M19" s="43">
        <v>65</v>
      </c>
      <c r="N19" s="43">
        <v>76</v>
      </c>
      <c r="O19" s="43">
        <v>82</v>
      </c>
    </row>
    <row r="20" ht="28.5">
      <c r="A20" s="39">
        <v>21</v>
      </c>
      <c r="B20" s="39" t="s">
        <v>154</v>
      </c>
      <c r="C20" s="37">
        <f t="shared" si="3"/>
        <v>1</v>
      </c>
      <c r="D20" s="40" t="s">
        <v>137</v>
      </c>
      <c r="E20" s="43">
        <v>57</v>
      </c>
      <c r="F20" s="43">
        <v>73</v>
      </c>
      <c r="G20" s="43">
        <v>82</v>
      </c>
      <c r="H20" s="43">
        <v>86</v>
      </c>
      <c r="I20" s="44">
        <v>21</v>
      </c>
      <c r="J20" s="1" t="str">
        <f t="shared" si="4"/>
        <v xml:space="preserve">LIKE '21'</v>
      </c>
      <c r="K20" s="37">
        <v>18</v>
      </c>
      <c r="L20" s="43">
        <v>57</v>
      </c>
      <c r="M20" s="43">
        <v>73</v>
      </c>
      <c r="N20" s="43">
        <v>82</v>
      </c>
      <c r="O20" s="43">
        <v>86</v>
      </c>
    </row>
    <row r="21" ht="28.5">
      <c r="A21" s="39">
        <v>22</v>
      </c>
      <c r="B21" s="39" t="s">
        <v>155</v>
      </c>
      <c r="C21" s="37">
        <f t="shared" si="3"/>
        <v>1</v>
      </c>
      <c r="D21" s="40" t="s">
        <v>137</v>
      </c>
      <c r="E21" s="41">
        <v>63</v>
      </c>
      <c r="F21" s="41">
        <v>74</v>
      </c>
      <c r="G21" s="41">
        <v>82</v>
      </c>
      <c r="H21" s="41">
        <v>87</v>
      </c>
      <c r="I21" s="41">
        <v>22</v>
      </c>
      <c r="J21" s="1" t="str">
        <f t="shared" si="4"/>
        <v xml:space="preserve">LIKE '22'</v>
      </c>
      <c r="K21" s="37">
        <v>19</v>
      </c>
      <c r="L21" s="37">
        <v>81</v>
      </c>
      <c r="M21" s="37">
        <v>93</v>
      </c>
      <c r="N21" s="37">
        <v>100</v>
      </c>
      <c r="O21" s="37">
        <v>100</v>
      </c>
    </row>
    <row r="22" ht="28.5">
      <c r="A22" s="39">
        <v>23</v>
      </c>
      <c r="B22" s="39" t="s">
        <v>156</v>
      </c>
      <c r="C22" s="37">
        <f t="shared" si="3"/>
        <v>1</v>
      </c>
      <c r="D22" s="40" t="s">
        <v>137</v>
      </c>
      <c r="E22" s="43">
        <v>43</v>
      </c>
      <c r="F22" s="43">
        <v>65</v>
      </c>
      <c r="G22" s="43">
        <v>76</v>
      </c>
      <c r="H22" s="43">
        <v>82</v>
      </c>
      <c r="I22" s="44">
        <v>23</v>
      </c>
      <c r="J22" s="1" t="str">
        <f t="shared" si="4"/>
        <v xml:space="preserve">LIKE '23'</v>
      </c>
      <c r="K22" s="37">
        <v>20</v>
      </c>
      <c r="L22" s="37">
        <v>83</v>
      </c>
      <c r="M22" s="37">
        <v>94</v>
      </c>
      <c r="N22" s="37">
        <v>100</v>
      </c>
      <c r="O22" s="37">
        <v>100</v>
      </c>
    </row>
    <row r="23" ht="15">
      <c r="A23" s="39">
        <v>24</v>
      </c>
      <c r="B23" s="39" t="s">
        <v>157</v>
      </c>
      <c r="C23" s="37">
        <f t="shared" si="3"/>
        <v>1</v>
      </c>
      <c r="E23" s="41">
        <v>67</v>
      </c>
      <c r="F23" s="41">
        <v>78</v>
      </c>
      <c r="G23" s="41">
        <v>85</v>
      </c>
      <c r="H23" s="41">
        <v>89</v>
      </c>
      <c r="I23" s="41">
        <v>24</v>
      </c>
      <c r="J23" s="1" t="str">
        <f t="shared" si="4"/>
        <v xml:space="preserve">LIKE '24'</v>
      </c>
      <c r="K23" s="37">
        <v>21</v>
      </c>
      <c r="L23" s="37">
        <v>85</v>
      </c>
      <c r="M23" s="37">
        <v>95</v>
      </c>
      <c r="N23" s="37">
        <v>100</v>
      </c>
      <c r="O23" s="37">
        <v>100</v>
      </c>
    </row>
    <row r="24" ht="28.5">
      <c r="A24" s="39">
        <v>25</v>
      </c>
      <c r="B24" s="39" t="s">
        <v>158</v>
      </c>
      <c r="C24" s="37">
        <f t="shared" si="3"/>
        <v>1</v>
      </c>
      <c r="D24" s="40" t="s">
        <v>137</v>
      </c>
      <c r="E24" s="41">
        <v>67</v>
      </c>
      <c r="F24" s="41">
        <v>78</v>
      </c>
      <c r="G24" s="41">
        <v>85</v>
      </c>
      <c r="H24" s="41">
        <v>89</v>
      </c>
      <c r="I24" s="41">
        <v>25</v>
      </c>
      <c r="J24" s="1" t="str">
        <f t="shared" si="4"/>
        <v xml:space="preserve">LIKE '25'</v>
      </c>
      <c r="K24" s="37">
        <v>22</v>
      </c>
      <c r="L24" s="37">
        <v>87</v>
      </c>
      <c r="M24" s="37">
        <v>96</v>
      </c>
      <c r="N24" s="37">
        <v>100</v>
      </c>
      <c r="O24" s="37">
        <v>100</v>
      </c>
    </row>
    <row r="25" ht="28.5">
      <c r="A25" s="39">
        <v>26</v>
      </c>
      <c r="B25" s="39" t="s">
        <v>159</v>
      </c>
      <c r="C25" s="37">
        <f t="shared" si="3"/>
        <v>1</v>
      </c>
      <c r="D25" s="40" t="s">
        <v>137</v>
      </c>
      <c r="E25" s="41">
        <v>67</v>
      </c>
      <c r="F25" s="41">
        <v>78</v>
      </c>
      <c r="G25" s="41">
        <v>85</v>
      </c>
      <c r="H25" s="41">
        <v>89</v>
      </c>
      <c r="I25" s="41">
        <v>26</v>
      </c>
      <c r="J25" s="1" t="str">
        <f t="shared" si="4"/>
        <v xml:space="preserve">LIKE '26'</v>
      </c>
      <c r="K25" s="37">
        <v>23</v>
      </c>
      <c r="L25" s="37">
        <v>89</v>
      </c>
      <c r="M25" s="37">
        <v>97</v>
      </c>
      <c r="N25" s="37">
        <v>100</v>
      </c>
      <c r="O25" s="37">
        <v>100</v>
      </c>
    </row>
    <row r="26" ht="15">
      <c r="A26" s="39">
        <v>28</v>
      </c>
      <c r="B26" s="39" t="s">
        <v>160</v>
      </c>
      <c r="C26" s="37">
        <f t="shared" si="3"/>
        <v>1</v>
      </c>
      <c r="E26" s="41">
        <v>67</v>
      </c>
      <c r="F26" s="41">
        <v>78</v>
      </c>
      <c r="G26" s="41">
        <v>85</v>
      </c>
      <c r="H26" s="41">
        <v>89</v>
      </c>
      <c r="I26" s="41">
        <v>28</v>
      </c>
      <c r="J26" s="1" t="str">
        <f t="shared" si="4"/>
        <v xml:space="preserve">LIKE '28'</v>
      </c>
      <c r="K26" s="37">
        <v>24</v>
      </c>
      <c r="L26" s="37">
        <v>91</v>
      </c>
      <c r="M26" s="37">
        <v>98</v>
      </c>
      <c r="N26" s="37">
        <v>100</v>
      </c>
      <c r="O26" s="37">
        <v>100</v>
      </c>
    </row>
    <row r="27" ht="15">
      <c r="J27" s="1" t="str">
        <f t="shared" si="4"/>
        <v xml:space="preserve">LIKE ''</v>
      </c>
      <c r="K27" s="37">
        <v>25</v>
      </c>
      <c r="L27" s="37">
        <v>93</v>
      </c>
      <c r="M27" s="37">
        <v>99</v>
      </c>
      <c r="N27" s="37">
        <v>100</v>
      </c>
      <c r="O27" s="37">
        <v>100</v>
      </c>
    </row>
    <row r="28" ht="15">
      <c r="J28" s="1" t="str">
        <f t="shared" si="4"/>
        <v xml:space="preserve">LIKE ''</v>
      </c>
      <c r="K28" s="37">
        <v>26</v>
      </c>
      <c r="L28" s="37">
        <v>95</v>
      </c>
      <c r="M28" s="37">
        <v>100</v>
      </c>
      <c r="N28" s="37">
        <v>100</v>
      </c>
      <c r="O28" s="37">
        <v>100</v>
      </c>
    </row>
    <row r="29" ht="15">
      <c r="J29" s="1" t="str">
        <f t="shared" si="4"/>
        <v xml:space="preserve">LIKE ''</v>
      </c>
      <c r="K29" s="37">
        <v>27</v>
      </c>
      <c r="L29" s="37">
        <v>97</v>
      </c>
      <c r="M29" s="37">
        <v>100</v>
      </c>
      <c r="N29" s="37">
        <v>100</v>
      </c>
      <c r="O29" s="37">
        <v>100</v>
      </c>
    </row>
    <row r="30" ht="15">
      <c r="J30" s="1" t="str">
        <f t="shared" si="4"/>
        <v xml:space="preserve">LIKE ''</v>
      </c>
      <c r="K30" s="37">
        <v>28</v>
      </c>
      <c r="L30" s="37">
        <v>99</v>
      </c>
      <c r="M30" s="37">
        <v>100</v>
      </c>
      <c r="N30" s="37">
        <v>100</v>
      </c>
      <c r="O30" s="37">
        <v>100</v>
      </c>
    </row>
  </sheetData>
  <autoFilter ref="A2:C26"/>
  <mergeCells count="2">
    <mergeCell ref="D1:H1"/>
    <mergeCell ref="K1:O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Frederic PONS</dc:creator>
  <dc:description/>
  <dc:language>fr-FR</dc:language>
  <cp:revision>20</cp:revision>
  <dcterms:created xsi:type="dcterms:W3CDTF">2021-11-08T12:38:58Z</dcterms:created>
  <dcterms:modified xsi:type="dcterms:W3CDTF">2025-04-19T06:29:55Z</dcterms:modified>
</cp:coreProperties>
</file>